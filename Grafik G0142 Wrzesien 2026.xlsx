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ukaszresz/Desktop/Grafiki /"/>
    </mc:Choice>
  </mc:AlternateContent>
  <xr:revisionPtr revIDLastSave="0" documentId="13_ncr:1_{67545177-50C6-D240-9EC4-30C244C8AFD8}" xr6:coauthVersionLast="47" xr6:coauthVersionMax="47" xr10:uidLastSave="{00000000-0000-0000-0000-000000000000}"/>
  <bookViews>
    <workbookView xWindow="0" yWindow="660" windowWidth="30240" windowHeight="17580" activeTab="2" xr2:uid="{00000000-000D-0000-FFFF-FFFF00000000}"/>
  </bookViews>
  <sheets>
    <sheet name="Grafik" sheetId="1" r:id="rId1"/>
    <sheet name="Ustawienia" sheetId="2" r:id="rId2"/>
    <sheet name="Grafik finalny" sheetId="3" r:id="rId3"/>
  </sheets>
  <definedNames>
    <definedName name="_xlnm.Print_Area" localSheetId="0">Grafik!$A$1:$AL$53</definedName>
    <definedName name="_xlnm.Print_Area" localSheetId="2">'Grafik finalny'!$A$1:$AK$14</definedName>
    <definedName name="_xlnm.Print_Area" localSheetId="1">Ustawienia!$A$1:$E$9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3" l="1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J8" i="3" s="1"/>
  <c r="AK8" i="3"/>
  <c r="T9" i="3"/>
  <c r="U9" i="3"/>
  <c r="V9" i="3"/>
  <c r="AK9" i="3" s="1"/>
  <c r="W9" i="3"/>
  <c r="X9" i="3"/>
  <c r="Y9" i="3"/>
  <c r="Z9" i="3"/>
  <c r="AA9" i="3"/>
  <c r="AB9" i="3"/>
  <c r="AC9" i="3"/>
  <c r="AD9" i="3"/>
  <c r="AE9" i="3"/>
  <c r="AF9" i="3"/>
  <c r="AG9" i="3"/>
  <c r="AJ9" i="3" s="1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J10" i="3"/>
  <c r="AK10" i="3"/>
  <c r="T11" i="3"/>
  <c r="AK11" i="3" s="1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J11" i="3" s="1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J12" i="3"/>
  <c r="AK12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J13" i="3"/>
  <c r="AK13" i="3"/>
  <c r="T14" i="3"/>
  <c r="U14" i="3"/>
  <c r="AK14" i="3" s="1"/>
  <c r="V14" i="3"/>
  <c r="W14" i="3"/>
  <c r="X14" i="3"/>
  <c r="Y14" i="3"/>
  <c r="Z14" i="3"/>
  <c r="AA14" i="3"/>
  <c r="AB14" i="3"/>
  <c r="AC14" i="3"/>
  <c r="AD14" i="3"/>
  <c r="AE14" i="3"/>
  <c r="AF14" i="3"/>
  <c r="AG14" i="3"/>
  <c r="AJ14" i="3" s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S14" i="3" s="1"/>
  <c r="R14" i="1"/>
  <c r="R14" i="3" s="1"/>
  <c r="Q14" i="1"/>
  <c r="Q14" i="3" s="1"/>
  <c r="P14" i="1"/>
  <c r="P14" i="3" s="1"/>
  <c r="O14" i="1"/>
  <c r="O14" i="3" s="1"/>
  <c r="N14" i="1"/>
  <c r="N14" i="3" s="1"/>
  <c r="M14" i="1"/>
  <c r="M14" i="3" s="1"/>
  <c r="L14" i="1"/>
  <c r="L14" i="3" s="1"/>
  <c r="K14" i="1"/>
  <c r="K14" i="3" s="1"/>
  <c r="J14" i="1"/>
  <c r="J14" i="3" s="1"/>
  <c r="I14" i="1"/>
  <c r="I14" i="3" s="1"/>
  <c r="H14" i="1"/>
  <c r="H14" i="3" s="1"/>
  <c r="G14" i="1"/>
  <c r="G14" i="3" s="1"/>
  <c r="F14" i="1"/>
  <c r="F14" i="3" s="1"/>
  <c r="E14" i="1"/>
  <c r="E14" i="3" s="1"/>
  <c r="D14" i="1"/>
  <c r="D14" i="3" s="1"/>
  <c r="C14" i="1"/>
  <c r="C14" i="3" s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S13" i="3" s="1"/>
  <c r="R13" i="1"/>
  <c r="R13" i="3" s="1"/>
  <c r="Q13" i="1"/>
  <c r="Q13" i="3" s="1"/>
  <c r="P13" i="1"/>
  <c r="P13" i="3" s="1"/>
  <c r="O13" i="1"/>
  <c r="O13" i="3" s="1"/>
  <c r="N13" i="1"/>
  <c r="N13" i="3" s="1"/>
  <c r="M13" i="1"/>
  <c r="M13" i="3" s="1"/>
  <c r="L13" i="1"/>
  <c r="L13" i="3" s="1"/>
  <c r="K13" i="1"/>
  <c r="K13" i="3" s="1"/>
  <c r="J13" i="1"/>
  <c r="J13" i="3" s="1"/>
  <c r="I13" i="1"/>
  <c r="I13" i="3" s="1"/>
  <c r="H13" i="1"/>
  <c r="H13" i="3" s="1"/>
  <c r="G13" i="1"/>
  <c r="G13" i="3" s="1"/>
  <c r="F13" i="1"/>
  <c r="F13" i="3" s="1"/>
  <c r="E13" i="1"/>
  <c r="E13" i="3" s="1"/>
  <c r="D13" i="1"/>
  <c r="D13" i="3" s="1"/>
  <c r="C13" i="1"/>
  <c r="C13" i="3" s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S12" i="3" s="1"/>
  <c r="R12" i="1"/>
  <c r="R12" i="3" s="1"/>
  <c r="Q12" i="1"/>
  <c r="Q12" i="3" s="1"/>
  <c r="P12" i="1"/>
  <c r="P12" i="3" s="1"/>
  <c r="O12" i="1"/>
  <c r="O12" i="3" s="1"/>
  <c r="N12" i="1"/>
  <c r="N12" i="3" s="1"/>
  <c r="M12" i="1"/>
  <c r="M12" i="3" s="1"/>
  <c r="L12" i="1"/>
  <c r="L12" i="3" s="1"/>
  <c r="K12" i="1"/>
  <c r="K12" i="3" s="1"/>
  <c r="J12" i="1"/>
  <c r="J12" i="3" s="1"/>
  <c r="I12" i="1"/>
  <c r="I12" i="3" s="1"/>
  <c r="H12" i="1"/>
  <c r="H12" i="3" s="1"/>
  <c r="G12" i="1"/>
  <c r="G12" i="3" s="1"/>
  <c r="F12" i="1"/>
  <c r="F12" i="3" s="1"/>
  <c r="E12" i="1"/>
  <c r="E12" i="3" s="1"/>
  <c r="D12" i="1"/>
  <c r="D12" i="3" s="1"/>
  <c r="C12" i="1"/>
  <c r="C12" i="3" s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S11" i="3" s="1"/>
  <c r="R11" i="1"/>
  <c r="R11" i="3" s="1"/>
  <c r="Q11" i="1"/>
  <c r="Q11" i="3" s="1"/>
  <c r="P11" i="1"/>
  <c r="P11" i="3" s="1"/>
  <c r="O11" i="1"/>
  <c r="O11" i="3" s="1"/>
  <c r="N11" i="1"/>
  <c r="N11" i="3" s="1"/>
  <c r="M11" i="1"/>
  <c r="M11" i="3" s="1"/>
  <c r="L11" i="1"/>
  <c r="L11" i="3" s="1"/>
  <c r="K11" i="1"/>
  <c r="K11" i="3" s="1"/>
  <c r="J11" i="1"/>
  <c r="J11" i="3" s="1"/>
  <c r="I11" i="1"/>
  <c r="I11" i="3" s="1"/>
  <c r="H11" i="1"/>
  <c r="H11" i="3" s="1"/>
  <c r="G11" i="1"/>
  <c r="G11" i="3" s="1"/>
  <c r="F11" i="1"/>
  <c r="F11" i="3" s="1"/>
  <c r="E11" i="1"/>
  <c r="E11" i="3" s="1"/>
  <c r="D11" i="1"/>
  <c r="D11" i="3" s="1"/>
  <c r="C11" i="1"/>
  <c r="C11" i="3" s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S10" i="3" s="1"/>
  <c r="R10" i="1"/>
  <c r="R10" i="3" s="1"/>
  <c r="Q10" i="1"/>
  <c r="Q10" i="3" s="1"/>
  <c r="P10" i="1"/>
  <c r="P10" i="3" s="1"/>
  <c r="O10" i="1"/>
  <c r="O10" i="3" s="1"/>
  <c r="N10" i="1"/>
  <c r="N10" i="3" s="1"/>
  <c r="M10" i="1"/>
  <c r="M10" i="3" s="1"/>
  <c r="L10" i="1"/>
  <c r="L10" i="3" s="1"/>
  <c r="K10" i="1"/>
  <c r="K10" i="3" s="1"/>
  <c r="J10" i="1"/>
  <c r="J10" i="3" s="1"/>
  <c r="I10" i="1"/>
  <c r="I10" i="3" s="1"/>
  <c r="H10" i="1"/>
  <c r="H10" i="3" s="1"/>
  <c r="G10" i="1"/>
  <c r="G10" i="3" s="1"/>
  <c r="F10" i="1"/>
  <c r="F10" i="3" s="1"/>
  <c r="E10" i="1"/>
  <c r="E10" i="3" s="1"/>
  <c r="D10" i="1"/>
  <c r="C10" i="1"/>
  <c r="C10" i="3" s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S9" i="3" s="1"/>
  <c r="R9" i="1"/>
  <c r="R9" i="3" s="1"/>
  <c r="Q9" i="1"/>
  <c r="Q9" i="3" s="1"/>
  <c r="P9" i="1"/>
  <c r="P9" i="3" s="1"/>
  <c r="O9" i="1"/>
  <c r="O9" i="3" s="1"/>
  <c r="N9" i="1"/>
  <c r="N9" i="3" s="1"/>
  <c r="M9" i="1"/>
  <c r="M9" i="3" s="1"/>
  <c r="L9" i="1"/>
  <c r="L9" i="3" s="1"/>
  <c r="K9" i="1"/>
  <c r="K9" i="3" s="1"/>
  <c r="J9" i="1"/>
  <c r="J9" i="3" s="1"/>
  <c r="I9" i="1"/>
  <c r="I9" i="3" s="1"/>
  <c r="H9" i="1"/>
  <c r="H9" i="3" s="1"/>
  <c r="G9" i="1"/>
  <c r="G9" i="3" s="1"/>
  <c r="F9" i="1"/>
  <c r="F9" i="3" s="1"/>
  <c r="E9" i="1"/>
  <c r="E9" i="3" s="1"/>
  <c r="D9" i="1"/>
  <c r="D9" i="3" s="1"/>
  <c r="C9" i="1"/>
  <c r="AL9" i="1" s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S8" i="3" s="1"/>
  <c r="R8" i="1"/>
  <c r="R8" i="3" s="1"/>
  <c r="Q8" i="1"/>
  <c r="Q8" i="3" s="1"/>
  <c r="P8" i="1"/>
  <c r="P8" i="3" s="1"/>
  <c r="O8" i="1"/>
  <c r="O8" i="3" s="1"/>
  <c r="N8" i="1"/>
  <c r="N8" i="3" s="1"/>
  <c r="M8" i="1"/>
  <c r="M8" i="3" s="1"/>
  <c r="L8" i="1"/>
  <c r="L8" i="3" s="1"/>
  <c r="K8" i="1"/>
  <c r="K8" i="3" s="1"/>
  <c r="J8" i="1"/>
  <c r="J8" i="3" s="1"/>
  <c r="I8" i="1"/>
  <c r="I8" i="3" s="1"/>
  <c r="H8" i="1"/>
  <c r="H8" i="3" s="1"/>
  <c r="G8" i="1"/>
  <c r="G8" i="3" s="1"/>
  <c r="F8" i="1"/>
  <c r="F8" i="3" s="1"/>
  <c r="E8" i="1"/>
  <c r="E8" i="3" s="1"/>
  <c r="D8" i="1"/>
  <c r="D8" i="3" s="1"/>
  <c r="C8" i="1"/>
  <c r="C8" i="3" s="1"/>
  <c r="AH7" i="1"/>
  <c r="AF7" i="1"/>
  <c r="AF7" i="3" s="1"/>
  <c r="AE7" i="1"/>
  <c r="AE7" i="3" s="1"/>
  <c r="AD7" i="1"/>
  <c r="AD7" i="3" s="1"/>
  <c r="AC7" i="1"/>
  <c r="AC7" i="3" s="1"/>
  <c r="AB7" i="1"/>
  <c r="AB7" i="3" s="1"/>
  <c r="AA7" i="1"/>
  <c r="AA7" i="3" s="1"/>
  <c r="Z7" i="1"/>
  <c r="Z7" i="3" s="1"/>
  <c r="Y7" i="1"/>
  <c r="Y7" i="3" s="1"/>
  <c r="X7" i="1"/>
  <c r="X7" i="3" s="1"/>
  <c r="W7" i="1"/>
  <c r="W7" i="3" s="1"/>
  <c r="V7" i="1"/>
  <c r="V7" i="3" s="1"/>
  <c r="U7" i="1"/>
  <c r="U7" i="3" s="1"/>
  <c r="T7" i="1"/>
  <c r="T7" i="3" s="1"/>
  <c r="S7" i="1"/>
  <c r="S7" i="3" s="1"/>
  <c r="R7" i="1"/>
  <c r="R7" i="3" s="1"/>
  <c r="Q7" i="1"/>
  <c r="Q7" i="3" s="1"/>
  <c r="P7" i="1"/>
  <c r="P7" i="3" s="1"/>
  <c r="O7" i="1"/>
  <c r="O7" i="3" s="1"/>
  <c r="N7" i="1"/>
  <c r="N7" i="3" s="1"/>
  <c r="M7" i="1"/>
  <c r="M7" i="3" s="1"/>
  <c r="L7" i="1"/>
  <c r="L7" i="3" s="1"/>
  <c r="K7" i="1"/>
  <c r="K7" i="3" s="1"/>
  <c r="J7" i="1"/>
  <c r="J7" i="3" s="1"/>
  <c r="I7" i="1"/>
  <c r="I7" i="3" s="1"/>
  <c r="H7" i="1"/>
  <c r="H7" i="3" s="1"/>
  <c r="G7" i="1"/>
  <c r="G7" i="3" s="1"/>
  <c r="F7" i="1"/>
  <c r="F7" i="3" s="1"/>
  <c r="E7" i="1"/>
  <c r="E7" i="3" s="1"/>
  <c r="D7" i="1"/>
  <c r="D7" i="3" s="1"/>
  <c r="C7" i="1"/>
  <c r="C7" i="3" s="1"/>
  <c r="AF6" i="1"/>
  <c r="AF6" i="3" s="1"/>
  <c r="AE6" i="1"/>
  <c r="AE6" i="3" s="1"/>
  <c r="AD6" i="1"/>
  <c r="AD6" i="3" s="1"/>
  <c r="AC6" i="1"/>
  <c r="AC6" i="3" s="1"/>
  <c r="AB6" i="1"/>
  <c r="AB6" i="3" s="1"/>
  <c r="AA6" i="1"/>
  <c r="AA6" i="3" s="1"/>
  <c r="Z6" i="1"/>
  <c r="Z6" i="3" s="1"/>
  <c r="Y6" i="1"/>
  <c r="Y6" i="3" s="1"/>
  <c r="X6" i="1"/>
  <c r="X6" i="3" s="1"/>
  <c r="W6" i="1"/>
  <c r="W6" i="3" s="1"/>
  <c r="V6" i="1"/>
  <c r="V6" i="3" s="1"/>
  <c r="U6" i="1"/>
  <c r="U6" i="3" s="1"/>
  <c r="T6" i="1"/>
  <c r="T6" i="3" s="1"/>
  <c r="S6" i="1"/>
  <c r="S6" i="3" s="1"/>
  <c r="R6" i="1"/>
  <c r="R6" i="3" s="1"/>
  <c r="Q6" i="1"/>
  <c r="Q6" i="3" s="1"/>
  <c r="P6" i="1"/>
  <c r="P6" i="3" s="1"/>
  <c r="O6" i="1"/>
  <c r="O6" i="3" s="1"/>
  <c r="N6" i="1"/>
  <c r="N6" i="3" s="1"/>
  <c r="M6" i="1"/>
  <c r="M6" i="3" s="1"/>
  <c r="L6" i="1"/>
  <c r="L6" i="3" s="1"/>
  <c r="K6" i="1"/>
  <c r="K6" i="3" s="1"/>
  <c r="J6" i="1"/>
  <c r="J6" i="3" s="1"/>
  <c r="I6" i="1"/>
  <c r="I6" i="3" s="1"/>
  <c r="H6" i="1"/>
  <c r="H6" i="3" s="1"/>
  <c r="G6" i="1"/>
  <c r="G6" i="3" s="1"/>
  <c r="F6" i="1"/>
  <c r="F6" i="3" s="1"/>
  <c r="E6" i="1"/>
  <c r="E6" i="3" s="1"/>
  <c r="D6" i="1"/>
  <c r="D6" i="3" s="1"/>
  <c r="C6" i="1"/>
  <c r="AF5" i="1"/>
  <c r="AE5" i="1"/>
  <c r="AE5" i="3" s="1"/>
  <c r="AD5" i="1"/>
  <c r="AD5" i="3" s="1"/>
  <c r="AC5" i="1"/>
  <c r="AB5" i="1"/>
  <c r="AB5" i="3" s="1"/>
  <c r="AA5" i="1"/>
  <c r="AA5" i="3" s="1"/>
  <c r="Z5" i="1"/>
  <c r="Y5" i="1"/>
  <c r="Y51" i="1" s="1"/>
  <c r="X5" i="1"/>
  <c r="X51" i="1" s="1"/>
  <c r="W5" i="1"/>
  <c r="W52" i="1" s="1"/>
  <c r="V5" i="1"/>
  <c r="V17" i="1" s="1"/>
  <c r="V19" i="1" s="1"/>
  <c r="U5" i="1"/>
  <c r="U5" i="3" s="1"/>
  <c r="T5" i="1"/>
  <c r="T5" i="3" s="1"/>
  <c r="S5" i="1"/>
  <c r="R5" i="1"/>
  <c r="R5" i="3" s="1"/>
  <c r="Q5" i="1"/>
  <c r="Q5" i="3" s="1"/>
  <c r="P5" i="1"/>
  <c r="O5" i="1"/>
  <c r="O5" i="3" s="1"/>
  <c r="N5" i="1"/>
  <c r="N5" i="3" s="1"/>
  <c r="M5" i="1"/>
  <c r="M49" i="1" s="1"/>
  <c r="L5" i="1"/>
  <c r="K5" i="1"/>
  <c r="K5" i="3" s="1"/>
  <c r="J5" i="1"/>
  <c r="J5" i="3" s="1"/>
  <c r="I5" i="1"/>
  <c r="H5" i="1"/>
  <c r="H5" i="3" s="1"/>
  <c r="G5" i="1"/>
  <c r="G5" i="3" s="1"/>
  <c r="F5" i="1"/>
  <c r="E5" i="1"/>
  <c r="E50" i="1" s="1"/>
  <c r="D5" i="1"/>
  <c r="D50" i="1" s="1"/>
  <c r="C5" i="1"/>
  <c r="C51" i="1" s="1"/>
  <c r="AH9" i="1" l="1"/>
  <c r="Z50" i="1"/>
  <c r="AL6" i="1"/>
  <c r="AK7" i="3"/>
  <c r="AL7" i="1"/>
  <c r="AL13" i="1"/>
  <c r="I5" i="3"/>
  <c r="I52" i="1"/>
  <c r="I51" i="1"/>
  <c r="I50" i="1"/>
  <c r="I49" i="1"/>
  <c r="I43" i="1"/>
  <c r="I44" i="1" s="1"/>
  <c r="S5" i="3"/>
  <c r="S52" i="1"/>
  <c r="S51" i="1"/>
  <c r="S50" i="1"/>
  <c r="S49" i="1"/>
  <c r="S53" i="1" s="1"/>
  <c r="S43" i="1"/>
  <c r="S44" i="1" s="1"/>
  <c r="AC5" i="3"/>
  <c r="AC52" i="1"/>
  <c r="AC51" i="1"/>
  <c r="AC50" i="1"/>
  <c r="AC49" i="1"/>
  <c r="AC43" i="1"/>
  <c r="AC44" i="1" s="1"/>
  <c r="AC17" i="1"/>
  <c r="AC19" i="1" s="1"/>
  <c r="AL8" i="1"/>
  <c r="AL14" i="1"/>
  <c r="S16" i="1"/>
  <c r="S18" i="1" s="1"/>
  <c r="S20" i="1" s="1"/>
  <c r="D17" i="1"/>
  <c r="D19" i="1" s="1"/>
  <c r="X43" i="1"/>
  <c r="X44" i="1" s="1"/>
  <c r="N49" i="1"/>
  <c r="K50" i="1"/>
  <c r="D51" i="1"/>
  <c r="AE51" i="1"/>
  <c r="X52" i="1"/>
  <c r="W5" i="3"/>
  <c r="C16" i="1"/>
  <c r="C18" i="1" s="1"/>
  <c r="C20" i="1" s="1"/>
  <c r="U16" i="1"/>
  <c r="U18" i="1" s="1"/>
  <c r="U20" i="1" s="1"/>
  <c r="E17" i="1"/>
  <c r="E19" i="1" s="1"/>
  <c r="W17" i="1"/>
  <c r="W19" i="1" s="1"/>
  <c r="C43" i="1"/>
  <c r="C44" i="1" s="1"/>
  <c r="Y43" i="1"/>
  <c r="Y44" i="1" s="1"/>
  <c r="O49" i="1"/>
  <c r="M50" i="1"/>
  <c r="M53" i="1" s="1"/>
  <c r="E51" i="1"/>
  <c r="C52" i="1"/>
  <c r="Y52" i="1"/>
  <c r="X5" i="3"/>
  <c r="L5" i="3"/>
  <c r="L52" i="1"/>
  <c r="L51" i="1"/>
  <c r="L50" i="1"/>
  <c r="L49" i="1"/>
  <c r="L43" i="1"/>
  <c r="L44" i="1" s="1"/>
  <c r="V5" i="3"/>
  <c r="V52" i="1"/>
  <c r="V51" i="1"/>
  <c r="V50" i="1"/>
  <c r="V49" i="1"/>
  <c r="V43" i="1"/>
  <c r="V44" i="1" s="1"/>
  <c r="AF5" i="3"/>
  <c r="AF52" i="1"/>
  <c r="AF51" i="1"/>
  <c r="AF50" i="1"/>
  <c r="AF49" i="1"/>
  <c r="AF53" i="1" s="1"/>
  <c r="AF43" i="1"/>
  <c r="AF44" i="1" s="1"/>
  <c r="D16" i="1"/>
  <c r="D18" i="1" s="1"/>
  <c r="D20" i="1" s="1"/>
  <c r="V16" i="1"/>
  <c r="V18" i="1" s="1"/>
  <c r="V20" i="1" s="1"/>
  <c r="I17" i="1"/>
  <c r="I19" i="1" s="1"/>
  <c r="X17" i="1"/>
  <c r="X19" i="1" s="1"/>
  <c r="D43" i="1"/>
  <c r="D44" i="1" s="1"/>
  <c r="AE43" i="1"/>
  <c r="AE44" i="1" s="1"/>
  <c r="U49" i="1"/>
  <c r="N50" i="1"/>
  <c r="K51" i="1"/>
  <c r="D52" i="1"/>
  <c r="AE52" i="1"/>
  <c r="Y5" i="3"/>
  <c r="AH11" i="1"/>
  <c r="E16" i="1"/>
  <c r="E18" i="1" s="1"/>
  <c r="E20" i="1" s="1"/>
  <c r="W16" i="1"/>
  <c r="W18" i="1" s="1"/>
  <c r="W20" i="1" s="1"/>
  <c r="K17" i="1"/>
  <c r="K19" i="1" s="1"/>
  <c r="Y17" i="1"/>
  <c r="Y19" i="1" s="1"/>
  <c r="E43" i="1"/>
  <c r="E44" i="1" s="1"/>
  <c r="W49" i="1"/>
  <c r="O50" i="1"/>
  <c r="M51" i="1"/>
  <c r="E52" i="1"/>
  <c r="AH5" i="1"/>
  <c r="AL10" i="1"/>
  <c r="D10" i="3"/>
  <c r="I16" i="1"/>
  <c r="I18" i="1" s="1"/>
  <c r="X16" i="1"/>
  <c r="X18" i="1" s="1"/>
  <c r="X20" i="1" s="1"/>
  <c r="L17" i="1"/>
  <c r="L19" i="1" s="1"/>
  <c r="AE17" i="1"/>
  <c r="AE19" i="1" s="1"/>
  <c r="K43" i="1"/>
  <c r="K44" i="1" s="1"/>
  <c r="X49" i="1"/>
  <c r="X53" i="1" s="1"/>
  <c r="U50" i="1"/>
  <c r="N51" i="1"/>
  <c r="K52" i="1"/>
  <c r="C5" i="3"/>
  <c r="AL11" i="1"/>
  <c r="K16" i="1"/>
  <c r="K18" i="1" s="1"/>
  <c r="K20" i="1" s="1"/>
  <c r="Y16" i="1"/>
  <c r="Y18" i="1" s="1"/>
  <c r="Y20" i="1" s="1"/>
  <c r="M17" i="1"/>
  <c r="M19" i="1" s="1"/>
  <c r="AF17" i="1"/>
  <c r="AF19" i="1" s="1"/>
  <c r="M43" i="1"/>
  <c r="M44" i="1" s="1"/>
  <c r="C49" i="1"/>
  <c r="Y49" i="1"/>
  <c r="W50" i="1"/>
  <c r="O51" i="1"/>
  <c r="M52" i="1"/>
  <c r="D5" i="3"/>
  <c r="C9" i="3"/>
  <c r="AL12" i="1"/>
  <c r="AH12" i="1"/>
  <c r="L16" i="1"/>
  <c r="L18" i="1" s="1"/>
  <c r="L20" i="1" s="1"/>
  <c r="AC16" i="1"/>
  <c r="AC18" i="1" s="1"/>
  <c r="N17" i="1"/>
  <c r="N19" i="1" s="1"/>
  <c r="N43" i="1"/>
  <c r="N44" i="1" s="1"/>
  <c r="D49" i="1"/>
  <c r="AE49" i="1"/>
  <c r="X50" i="1"/>
  <c r="U51" i="1"/>
  <c r="N52" i="1"/>
  <c r="E5" i="3"/>
  <c r="AL5" i="1"/>
  <c r="F52" i="1"/>
  <c r="P49" i="1"/>
  <c r="M16" i="1"/>
  <c r="M18" i="1" s="1"/>
  <c r="AE16" i="1"/>
  <c r="AE18" i="1" s="1"/>
  <c r="O17" i="1"/>
  <c r="O19" i="1" s="1"/>
  <c r="O43" i="1"/>
  <c r="O44" i="1" s="1"/>
  <c r="E49" i="1"/>
  <c r="E53" i="1" s="1"/>
  <c r="C50" i="1"/>
  <c r="Y50" i="1"/>
  <c r="W51" i="1"/>
  <c r="O52" i="1"/>
  <c r="M5" i="3"/>
  <c r="AH8" i="1"/>
  <c r="N16" i="1"/>
  <c r="N18" i="1" s="1"/>
  <c r="N20" i="1" s="1"/>
  <c r="AF16" i="1"/>
  <c r="AF18" i="1" s="1"/>
  <c r="S17" i="1"/>
  <c r="S19" i="1" s="1"/>
  <c r="U43" i="1"/>
  <c r="U44" i="1" s="1"/>
  <c r="K49" i="1"/>
  <c r="K53" i="1" s="1"/>
  <c r="AE50" i="1"/>
  <c r="U52" i="1"/>
  <c r="AK7" i="1"/>
  <c r="AG7" i="3"/>
  <c r="AJ7" i="3" s="1"/>
  <c r="O16" i="1"/>
  <c r="O18" i="1" s="1"/>
  <c r="O20" i="1" s="1"/>
  <c r="C17" i="1"/>
  <c r="C19" i="1" s="1"/>
  <c r="U17" i="1"/>
  <c r="U19" i="1" s="1"/>
  <c r="W43" i="1"/>
  <c r="W44" i="1" s="1"/>
  <c r="F17" i="1"/>
  <c r="F19" i="1" s="1"/>
  <c r="Z43" i="1"/>
  <c r="Z44" i="1" s="1"/>
  <c r="F49" i="1"/>
  <c r="F53" i="1" s="1"/>
  <c r="Z49" i="1"/>
  <c r="F50" i="1"/>
  <c r="F51" i="1"/>
  <c r="P51" i="1"/>
  <c r="Z51" i="1"/>
  <c r="Z52" i="1"/>
  <c r="F5" i="3"/>
  <c r="P5" i="3"/>
  <c r="Z5" i="3"/>
  <c r="C6" i="3"/>
  <c r="AK6" i="3" s="1"/>
  <c r="AH6" i="1"/>
  <c r="P16" i="1"/>
  <c r="P18" i="1" s="1"/>
  <c r="P17" i="1"/>
  <c r="P19" i="1" s="1"/>
  <c r="P43" i="1"/>
  <c r="P44" i="1" s="1"/>
  <c r="P50" i="1"/>
  <c r="P52" i="1"/>
  <c r="AH13" i="1"/>
  <c r="G16" i="1"/>
  <c r="G18" i="1" s="1"/>
  <c r="G20" i="1" s="1"/>
  <c r="Q16" i="1"/>
  <c r="Q18" i="1" s="1"/>
  <c r="Q20" i="1" s="1"/>
  <c r="AA16" i="1"/>
  <c r="AA18" i="1" s="1"/>
  <c r="AA20" i="1" s="1"/>
  <c r="G17" i="1"/>
  <c r="G19" i="1" s="1"/>
  <c r="Q17" i="1"/>
  <c r="Q19" i="1" s="1"/>
  <c r="AA17" i="1"/>
  <c r="AA19" i="1" s="1"/>
  <c r="G43" i="1"/>
  <c r="G44" i="1" s="1"/>
  <c r="Q43" i="1"/>
  <c r="Q44" i="1" s="1"/>
  <c r="AA43" i="1"/>
  <c r="AA44" i="1" s="1"/>
  <c r="G49" i="1"/>
  <c r="Q49" i="1"/>
  <c r="Q53" i="1" s="1"/>
  <c r="AA49" i="1"/>
  <c r="AA53" i="1" s="1"/>
  <c r="G50" i="1"/>
  <c r="Q50" i="1"/>
  <c r="AA50" i="1"/>
  <c r="G51" i="1"/>
  <c r="Q51" i="1"/>
  <c r="AA51" i="1"/>
  <c r="G52" i="1"/>
  <c r="Q52" i="1"/>
  <c r="AA52" i="1"/>
  <c r="F16" i="1"/>
  <c r="F18" i="1" s="1"/>
  <c r="F20" i="1" s="1"/>
  <c r="Z16" i="1"/>
  <c r="Z18" i="1" s="1"/>
  <c r="Z20" i="1" s="1"/>
  <c r="Z17" i="1"/>
  <c r="Z19" i="1" s="1"/>
  <c r="F43" i="1"/>
  <c r="F44" i="1" s="1"/>
  <c r="AH10" i="1"/>
  <c r="H16" i="1"/>
  <c r="H18" i="1" s="1"/>
  <c r="R16" i="1"/>
  <c r="R18" i="1" s="1"/>
  <c r="AB16" i="1"/>
  <c r="AB18" i="1" s="1"/>
  <c r="H17" i="1"/>
  <c r="H19" i="1" s="1"/>
  <c r="R17" i="1"/>
  <c r="R19" i="1" s="1"/>
  <c r="AB17" i="1"/>
  <c r="AB19" i="1" s="1"/>
  <c r="H43" i="1"/>
  <c r="H44" i="1" s="1"/>
  <c r="R43" i="1"/>
  <c r="R44" i="1" s="1"/>
  <c r="AB43" i="1"/>
  <c r="AB44" i="1" s="1"/>
  <c r="H49" i="1"/>
  <c r="R49" i="1"/>
  <c r="AB49" i="1"/>
  <c r="H50" i="1"/>
  <c r="R50" i="1"/>
  <c r="AB50" i="1"/>
  <c r="H51" i="1"/>
  <c r="R51" i="1"/>
  <c r="AB51" i="1"/>
  <c r="H52" i="1"/>
  <c r="R52" i="1"/>
  <c r="AB52" i="1"/>
  <c r="AH14" i="1"/>
  <c r="J16" i="1"/>
  <c r="J18" i="1" s="1"/>
  <c r="T16" i="1"/>
  <c r="T18" i="1" s="1"/>
  <c r="AD16" i="1"/>
  <c r="AD18" i="1" s="1"/>
  <c r="AD20" i="1" s="1"/>
  <c r="J17" i="1"/>
  <c r="J19" i="1" s="1"/>
  <c r="T17" i="1"/>
  <c r="T19" i="1" s="1"/>
  <c r="AD17" i="1"/>
  <c r="AD19" i="1" s="1"/>
  <c r="J43" i="1"/>
  <c r="J44" i="1" s="1"/>
  <c r="T43" i="1"/>
  <c r="T44" i="1" s="1"/>
  <c r="AD43" i="1"/>
  <c r="AD44" i="1" s="1"/>
  <c r="J49" i="1"/>
  <c r="T49" i="1"/>
  <c r="AD49" i="1"/>
  <c r="J50" i="1"/>
  <c r="T50" i="1"/>
  <c r="AD50" i="1"/>
  <c r="J51" i="1"/>
  <c r="T51" i="1"/>
  <c r="AD51" i="1"/>
  <c r="J52" i="1"/>
  <c r="T52" i="1"/>
  <c r="AD52" i="1"/>
  <c r="AD53" i="1" l="1"/>
  <c r="AK13" i="1"/>
  <c r="J53" i="1"/>
  <c r="AK14" i="1"/>
  <c r="AB53" i="1"/>
  <c r="R20" i="1"/>
  <c r="AF20" i="1"/>
  <c r="AE53" i="1"/>
  <c r="I20" i="1"/>
  <c r="L53" i="1"/>
  <c r="O53" i="1"/>
  <c r="AC53" i="1"/>
  <c r="W53" i="1"/>
  <c r="AK12" i="1"/>
  <c r="T53" i="1"/>
  <c r="R53" i="1"/>
  <c r="N53" i="1"/>
  <c r="I53" i="1"/>
  <c r="AB20" i="1"/>
  <c r="U53" i="1"/>
  <c r="D53" i="1"/>
  <c r="H53" i="1"/>
  <c r="AK8" i="1"/>
  <c r="P20" i="1"/>
  <c r="AK5" i="1"/>
  <c r="AG5" i="3"/>
  <c r="AJ5" i="3" s="1"/>
  <c r="AK9" i="1"/>
  <c r="T20" i="1"/>
  <c r="G53" i="1"/>
  <c r="J20" i="1"/>
  <c r="H20" i="1"/>
  <c r="AE20" i="1"/>
  <c r="AK5" i="3"/>
  <c r="AK10" i="1"/>
  <c r="M20" i="1"/>
  <c r="P53" i="1"/>
  <c r="Y53" i="1"/>
  <c r="AK11" i="1"/>
  <c r="AK6" i="1"/>
  <c r="AG6" i="3"/>
  <c r="AJ6" i="3" s="1"/>
  <c r="Z53" i="1"/>
  <c r="AC20" i="1"/>
  <c r="C53" i="1"/>
  <c r="V53" i="1"/>
</calcChain>
</file>

<file path=xl/sharedStrings.xml><?xml version="1.0" encoding="utf-8"?>
<sst xmlns="http://schemas.openxmlformats.org/spreadsheetml/2006/main" count="243" uniqueCount="66">
  <si>
    <t>Lp</t>
  </si>
  <si>
    <t>Pracownik</t>
  </si>
  <si>
    <t>Wypracowane h</t>
  </si>
  <si>
    <t>Min h</t>
  </si>
  <si>
    <t>Max h</t>
  </si>
  <si>
    <t>Status godzin</t>
  </si>
  <si>
    <t>Kontrola 36 h</t>
  </si>
  <si>
    <t>Wt</t>
  </si>
  <si>
    <t>Śr</t>
  </si>
  <si>
    <t>Cz</t>
  </si>
  <si>
    <t>Pt</t>
  </si>
  <si>
    <t>Sb</t>
  </si>
  <si>
    <t>Nd</t>
  </si>
  <si>
    <t>Pn</t>
  </si>
  <si>
    <t>Reszczyński Łukasz</t>
  </si>
  <si>
    <t>Ceplin Waldemar</t>
  </si>
  <si>
    <t>Martyna Paweł</t>
  </si>
  <si>
    <t>Michniewicz Tomasz</t>
  </si>
  <si>
    <t>Porzeziński Mateusz</t>
  </si>
  <si>
    <t>Rogiński Tomasz</t>
  </si>
  <si>
    <t>Szaryński Tomasz</t>
  </si>
  <si>
    <t>Szymański Tomasz</t>
  </si>
  <si>
    <t>Tekien Marek</t>
  </si>
  <si>
    <t>Turzyński Krystian</t>
  </si>
  <si>
    <t>Obsada D</t>
  </si>
  <si>
    <t>Obsada N</t>
  </si>
  <si>
    <t>Brakuje D</t>
  </si>
  <si>
    <t>Brakuje N</t>
  </si>
  <si>
    <t>DYŻUR DO OBSADZENIA</t>
  </si>
  <si>
    <t>PROPOZYCJE DYŻURÓW — wpisujesz tylko tutaj</t>
  </si>
  <si>
    <t>DN-K</t>
  </si>
  <si>
    <t>N-K</t>
  </si>
  <si>
    <t>DN-R</t>
  </si>
  <si>
    <t>N-R</t>
  </si>
  <si>
    <t>D-K</t>
  </si>
  <si>
    <t>D-R</t>
  </si>
  <si>
    <t>Łącznie godzin / dzień</t>
  </si>
  <si>
    <t>Limit 48 h</t>
  </si>
  <si>
    <t>Kierowcy D</t>
  </si>
  <si>
    <t>Ratownicy D</t>
  </si>
  <si>
    <t>Kierowcy N</t>
  </si>
  <si>
    <t>Ratownicy N</t>
  </si>
  <si>
    <t>STATUS FUNKCJI</t>
  </si>
  <si>
    <t>USTAWIENIA GRAFIKU</t>
  </si>
  <si>
    <t>Kod</t>
  </si>
  <si>
    <t>Liczba godzin</t>
  </si>
  <si>
    <t>Minimalna obsada</t>
  </si>
  <si>
    <t>Liczba osób</t>
  </si>
  <si>
    <t>D</t>
  </si>
  <si>
    <t>N</t>
  </si>
  <si>
    <t>DN</t>
  </si>
  <si>
    <t>XX</t>
  </si>
  <si>
    <t>Minimalna obsada wg funkcji</t>
  </si>
  <si>
    <t>Liczba</t>
  </si>
  <si>
    <t>Kierowca / zmiana</t>
  </si>
  <si>
    <t>Jak korzystać</t>
  </si>
  <si>
    <t>Ratownik / zmiana</t>
  </si>
  <si>
    <t>1.</t>
  </si>
  <si>
    <t>W arkuszu „Grafik” wybieraj kod z listy: D / N / DN / XX.</t>
  </si>
  <si>
    <t>2.</t>
  </si>
  <si>
    <t>Godziny zliczają się automatycznie, a różnica do kontraktu pokazuje nadmiar lub niedobór.</t>
  </si>
  <si>
    <t>3.</t>
  </si>
  <si>
    <t>Zielone puste pola wskazują dni, w których brakuje obsady i można rozważyć dodatkowy dyżur.</t>
  </si>
  <si>
    <t>Status</t>
  </si>
  <si>
    <t>GRAFIK G01042 — WRZESIEŃ 2026</t>
  </si>
  <si>
    <t>Wypracowane godziny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</si>
</sst>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i/>
      <sz val="10"/>
      <name val="Carlito"/>
    </font>
    <font>
      <b/>
      <sz val="13"/>
      <color rgb="FFFFFFFF"/>
      <name val="Carlito"/>
    </font>
    <font>
      <b/>
      <i/>
      <sz val="11"/>
      <name val="Carlito"/>
    </font>
    <font>
      <b/>
      <sz val="10"/>
      <name val="Carlito"/>
    </font>
    <font>
      <sz val="10"/>
      <name val="Carlito"/>
    </font>
    <font>
      <sz val="11"/>
      <name val="Carlito"/>
    </font>
    <font>
      <sz val="8"/>
      <name val="Carlito"/>
    </font>
    <font>
      <b/>
      <sz val="13"/>
      <name val="Carlito"/>
      <charset val="238"/>
    </font>
  </fonts>
  <fills count="26">
    <fill>
      <patternFill patternType="none"/>
    </fill>
    <fill>
      <patternFill patternType="gray125"/>
    </fill>
    <fill>
      <patternFill patternType="solid">
        <fgColor rgb="FF6F675F"/>
      </patternFill>
    </fill>
    <fill>
      <patternFill patternType="solid">
        <fgColor rgb="FFD8D0C7"/>
      </patternFill>
    </fill>
    <fill>
      <patternFill patternType="solid">
        <fgColor rgb="FFFFF2CC"/>
      </patternFill>
    </fill>
    <fill>
      <patternFill patternType="solid">
        <fgColor rgb="FFF7D7D7"/>
      </patternFill>
    </fill>
    <fill>
      <patternFill patternType="solid">
        <fgColor rgb="FFEEE9E3"/>
      </patternFill>
    </fill>
    <fill>
      <patternFill patternType="solid">
        <fgColor rgb="FFF5F2EE"/>
      </patternFill>
    </fill>
    <fill>
      <patternFill patternType="solid">
        <fgColor rgb="FF6F675F"/>
      </patternFill>
    </fill>
    <fill>
      <patternFill patternType="solid">
        <fgColor rgb="FFD8D0C7"/>
      </patternFill>
    </fill>
    <fill>
      <patternFill patternType="solid">
        <fgColor rgb="FFF5F2EE"/>
      </patternFill>
    </fill>
    <fill>
      <patternFill patternType="solid">
        <fgColor rgb="FFEEE9E3"/>
      </patternFill>
    </fill>
    <fill>
      <patternFill patternType="solid">
        <fgColor rgb="FFF5F2EE"/>
      </patternFill>
    </fill>
    <fill>
      <patternFill patternType="solid">
        <fgColor rgb="FFD8D0C7"/>
      </patternFill>
    </fill>
    <fill>
      <patternFill patternType="solid">
        <fgColor rgb="FFFFF2CC"/>
      </patternFill>
    </fill>
    <fill>
      <patternFill patternType="solid">
        <fgColor rgb="FFEEE9E3"/>
      </patternFill>
    </fill>
    <fill>
      <patternFill patternType="solid">
        <fgColor rgb="FFF5F2EE"/>
      </patternFill>
    </fill>
    <fill>
      <patternFill patternType="solid">
        <fgColor rgb="FFD8D0C7"/>
      </patternFill>
    </fill>
    <fill>
      <patternFill patternType="solid">
        <fgColor rgb="FFFFFFFF"/>
      </patternFill>
    </fill>
    <fill>
      <patternFill patternType="solid">
        <fgColor rgb="FFF7D7D7"/>
      </patternFill>
    </fill>
    <fill>
      <patternFill patternType="solid">
        <fgColor rgb="FF6F675F"/>
      </patternFill>
    </fill>
    <fill>
      <patternFill patternType="solid">
        <fgColor rgb="FFD8D0C7"/>
      </patternFill>
    </fill>
    <fill>
      <patternFill patternType="solid">
        <fgColor rgb="FFF7D7D7"/>
      </patternFill>
    </fill>
    <fill>
      <patternFill patternType="solid">
        <fgColor rgb="FFD8D0C7"/>
      </patternFill>
    </fill>
    <fill>
      <patternFill patternType="solid">
        <fgColor rgb="FFD8D0C7"/>
      </patternFill>
    </fill>
    <fill>
      <patternFill patternType="solid">
        <fgColor rgb="FFD8D0C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5">
    <xf numFmtId="0" fontId="0" fillId="0" borderId="0" xfId="0"/>
    <xf numFmtId="0" fontId="2" fillId="3" borderId="0" xfId="1" applyFont="1" applyFill="1" applyAlignment="1">
      <alignment horizontal="center"/>
    </xf>
    <xf numFmtId="0" fontId="0" fillId="4" borderId="0" xfId="1" applyFont="1" applyFill="1"/>
    <xf numFmtId="0" fontId="0" fillId="0" borderId="0" xfId="1" applyFont="1" applyAlignment="1">
      <alignment wrapText="1"/>
    </xf>
    <xf numFmtId="0" fontId="0" fillId="5" borderId="0" xfId="1" applyFont="1" applyFill="1"/>
    <xf numFmtId="0" fontId="0" fillId="0" borderId="0" xfId="1" applyFont="1" applyAlignment="1">
      <alignment horizontal="center" vertical="center"/>
    </xf>
    <xf numFmtId="0" fontId="2" fillId="13" borderId="0" xfId="1" applyFont="1" applyFill="1"/>
    <xf numFmtId="0" fontId="0" fillId="14" borderId="0" xfId="1" applyFont="1" applyFill="1"/>
    <xf numFmtId="0" fontId="7" fillId="3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2" fillId="21" borderId="1" xfId="1" applyFont="1" applyFill="1" applyBorder="1" applyAlignment="1">
      <alignment horizontal="center" vertical="center"/>
    </xf>
    <xf numFmtId="0" fontId="2" fillId="22" borderId="1" xfId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1" applyFont="1" applyBorder="1"/>
    <xf numFmtId="0" fontId="0" fillId="0" borderId="1" xfId="1" applyFont="1" applyBorder="1" applyAlignment="1">
      <alignment horizontal="center" vertical="center"/>
    </xf>
    <xf numFmtId="0" fontId="0" fillId="2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1" applyFont="1" applyBorder="1"/>
    <xf numFmtId="0" fontId="7" fillId="17" borderId="1" xfId="1" applyFont="1" applyFill="1" applyBorder="1" applyAlignment="1">
      <alignment horizontal="center" vertical="center"/>
    </xf>
    <xf numFmtId="0" fontId="7" fillId="19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18" borderId="1" xfId="1" applyFont="1" applyFill="1" applyBorder="1" applyAlignment="1">
      <alignment horizontal="center" vertical="center"/>
    </xf>
    <xf numFmtId="0" fontId="8" fillId="19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6" borderId="0" xfId="1" applyFont="1" applyFill="1"/>
    <xf numFmtId="0" fontId="2" fillId="24" borderId="1" xfId="1" applyFont="1" applyFill="1" applyBorder="1" applyAlignment="1">
      <alignment horizontal="center" vertical="center" wrapText="1"/>
    </xf>
    <xf numFmtId="0" fontId="2" fillId="11" borderId="0" xfId="1" applyFont="1" applyFill="1" applyAlignment="1">
      <alignment horizontal="center" vertical="center"/>
    </xf>
    <xf numFmtId="0" fontId="4" fillId="7" borderId="0" xfId="1" applyFont="1" applyFill="1" applyAlignment="1">
      <alignment wrapText="1"/>
    </xf>
    <xf numFmtId="0" fontId="5" fillId="8" borderId="0" xfId="1" applyFont="1" applyFill="1" applyAlignment="1">
      <alignment horizontal="center" vertical="center"/>
    </xf>
    <xf numFmtId="0" fontId="2" fillId="15" borderId="0" xfId="1" applyFont="1" applyFill="1"/>
    <xf numFmtId="0" fontId="4" fillId="16" borderId="0" xfId="1" applyFont="1" applyFill="1" applyAlignment="1">
      <alignment wrapText="1"/>
    </xf>
    <xf numFmtId="0" fontId="4" fillId="12" borderId="0" xfId="1" applyFont="1" applyFill="1" applyAlignment="1">
      <alignment vertical="center" wrapText="1"/>
    </xf>
    <xf numFmtId="0" fontId="2" fillId="9" borderId="1" xfId="1" applyFont="1" applyFill="1" applyBorder="1" applyAlignment="1">
      <alignment horizontal="center" vertical="center"/>
    </xf>
    <xf numFmtId="0" fontId="6" fillId="10" borderId="0" xfId="1" applyFont="1" applyFill="1" applyAlignment="1">
      <alignment horizontal="center" vertical="center"/>
    </xf>
    <xf numFmtId="0" fontId="4" fillId="10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0" fillId="14" borderId="0" xfId="1" applyFont="1" applyFill="1"/>
    <xf numFmtId="0" fontId="2" fillId="25" borderId="1" xfId="1" applyFont="1" applyFill="1" applyBorder="1" applyAlignment="1">
      <alignment horizontal="center" vertical="center" wrapText="1"/>
    </xf>
    <xf numFmtId="0" fontId="3" fillId="20" borderId="0" xfId="1" applyFont="1" applyFill="1" applyAlignment="1">
      <alignment horizontal="center" vertical="center"/>
    </xf>
    <xf numFmtId="0" fontId="2" fillId="23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ny" xfId="0" builtinId="0"/>
  </cellStyles>
  <dxfs count="60">
    <dxf>
      <font>
        <b/>
        <color rgb="FF9C0006"/>
      </font>
      <fill>
        <patternFill>
          <bgColor rgb="FFF4CCCC"/>
        </patternFill>
      </fill>
    </dxf>
    <dxf>
      <font>
        <b/>
        <color rgb="FF8A6D1D"/>
      </font>
      <fill>
        <patternFill>
          <bgColor rgb="FFFFF2CC"/>
        </patternFill>
      </fill>
    </dxf>
    <dxf>
      <font>
        <b/>
        <color rgb="FF137333"/>
      </font>
      <fill>
        <patternFill>
          <bgColor rgb="FFE6F4EA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</font>
      <fill>
        <patternFill>
          <bgColor rgb="FFFFF2CC"/>
        </patternFill>
      </fill>
    </dxf>
    <dxf>
      <font>
        <b/>
        <color rgb="FF137333"/>
      </font>
      <fill>
        <patternFill>
          <bgColor rgb="FFE6F4EA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777777"/>
      </font>
      <fill>
        <patternFill>
          <bgColor rgb="FFE7E6E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DDEBF7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  <color rgb="FF137333"/>
      </font>
      <fill>
        <patternFill>
          <bgColor rgb="FFE6F4EA"/>
        </patternFill>
      </fill>
    </dxf>
    <dxf>
      <font>
        <b/>
        <color rgb="FF8A6D1D"/>
      </font>
      <fill>
        <patternFill>
          <bgColor rgb="FFFFF2CC"/>
        </patternFill>
      </fill>
    </dxf>
    <dxf>
      <font>
        <b/>
        <color rgb="FF137333"/>
      </font>
      <fill>
        <patternFill>
          <bgColor rgb="FFE6F4EA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EAF4E3"/>
        </patternFill>
      </fill>
    </dxf>
    <dxf>
      <fill>
        <patternFill>
          <bgColor rgb="FFDDEBF7"/>
        </patternFill>
      </fill>
    </dxf>
    <dxf>
      <font>
        <b/>
      </font>
      <fill>
        <patternFill>
          <bgColor rgb="FFFFF2CC"/>
        </patternFill>
      </fill>
    </dxf>
    <dxf>
      <font>
        <color rgb="FF777777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FFF7DD"/>
        </patternFill>
      </fill>
    </dxf>
    <dxf>
      <font>
        <b/>
      </font>
      <fill>
        <patternFill>
          <bgColor rgb="FFFFF2CC"/>
        </patternFill>
      </fill>
    </dxf>
    <dxf>
      <fill>
        <patternFill>
          <bgColor rgb="FFEAF2F8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EAF4E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DDEBF7"/>
        </patternFill>
      </fill>
    </dxf>
    <dxf>
      <fill>
        <patternFill>
          <bgColor rgb="FFEAF2F8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7DD"/>
        </patternFill>
      </fill>
    </dxf>
    <dxf>
      <font>
        <color rgb="FF777777"/>
      </font>
      <fill>
        <patternFill>
          <bgColor rgb="FFE7E6E6"/>
        </patternFill>
      </fill>
    </dxf>
    <dxf>
      <font>
        <b/>
      </font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2F0D9"/>
        </patternFill>
      </fill>
    </dxf>
    <dxf>
      <fill>
        <patternFill>
          <bgColor rgb="FFD9EAD3"/>
        </patternFill>
      </fill>
    </dxf>
    <dxf>
      <font>
        <color rgb="FF777777"/>
      </font>
      <fill>
        <patternFill>
          <bgColor rgb="FFE7E6E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FFF2CC"/>
        </patternFill>
      </fill>
    </dxf>
    <dxf>
      <font>
        <color rgb="FF777777"/>
      </font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L56"/>
  <sheetViews>
    <sheetView zoomScale="60" zoomScaleNormal="100" workbookViewId="0">
      <selection activeCell="AL34" sqref="AL34"/>
    </sheetView>
  </sheetViews>
  <sheetFormatPr baseColWidth="10" defaultColWidth="8.83203125" defaultRowHeight="15"/>
  <cols>
    <col min="1" max="1" width="6" customWidth="1"/>
    <col min="2" max="2" width="25" customWidth="1"/>
    <col min="3" max="32" width="7.1640625" customWidth="1"/>
    <col min="33" max="33" width="2" customWidth="1"/>
    <col min="34" max="34" width="14.6640625" customWidth="1"/>
    <col min="35" max="36" width="13" customWidth="1"/>
    <col min="37" max="37" width="16" customWidth="1"/>
    <col min="38" max="38" width="14" customWidth="1"/>
  </cols>
  <sheetData>
    <row r="1" spans="1:38" ht="53.25" customHeight="1">
      <c r="A1" s="25" t="s">
        <v>64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3" spans="1:38" ht="46.25" customHeight="1">
      <c r="A3" s="26" t="s">
        <v>0</v>
      </c>
      <c r="B3" s="27" t="s">
        <v>1</v>
      </c>
      <c r="C3" s="19">
        <v>1</v>
      </c>
      <c r="D3" s="19">
        <v>2</v>
      </c>
      <c r="E3" s="19">
        <v>3</v>
      </c>
      <c r="F3" s="19">
        <v>4</v>
      </c>
      <c r="G3" s="20">
        <v>5</v>
      </c>
      <c r="H3" s="20">
        <v>6</v>
      </c>
      <c r="I3" s="19">
        <v>7</v>
      </c>
      <c r="J3" s="19">
        <v>8</v>
      </c>
      <c r="K3" s="19">
        <v>9</v>
      </c>
      <c r="L3" s="19">
        <v>10</v>
      </c>
      <c r="M3" s="19">
        <v>11</v>
      </c>
      <c r="N3" s="20">
        <v>12</v>
      </c>
      <c r="O3" s="20">
        <v>13</v>
      </c>
      <c r="P3" s="19">
        <v>14</v>
      </c>
      <c r="Q3" s="19">
        <v>15</v>
      </c>
      <c r="R3" s="19">
        <v>16</v>
      </c>
      <c r="S3" s="19">
        <v>17</v>
      </c>
      <c r="T3" s="19">
        <v>18</v>
      </c>
      <c r="U3" s="20">
        <v>19</v>
      </c>
      <c r="V3" s="20">
        <v>20</v>
      </c>
      <c r="W3" s="19">
        <v>21</v>
      </c>
      <c r="X3" s="19">
        <v>22</v>
      </c>
      <c r="Y3" s="19">
        <v>23</v>
      </c>
      <c r="Z3" s="19">
        <v>24</v>
      </c>
      <c r="AA3" s="19">
        <v>25</v>
      </c>
      <c r="AB3" s="20">
        <v>26</v>
      </c>
      <c r="AC3" s="20">
        <v>27</v>
      </c>
      <c r="AD3" s="19">
        <v>28</v>
      </c>
      <c r="AE3" s="19">
        <v>29</v>
      </c>
      <c r="AF3" s="19">
        <v>30</v>
      </c>
      <c r="AG3" s="21"/>
      <c r="AH3" s="29" t="s">
        <v>2</v>
      </c>
      <c r="AI3" s="29" t="s">
        <v>3</v>
      </c>
      <c r="AJ3" s="29" t="s">
        <v>4</v>
      </c>
      <c r="AK3" s="29" t="s">
        <v>5</v>
      </c>
      <c r="AL3" s="29" t="s">
        <v>6</v>
      </c>
    </row>
    <row r="4" spans="1:38" ht="46.25" customHeight="1">
      <c r="A4" s="26"/>
      <c r="B4" s="27"/>
      <c r="C4" s="19" t="s">
        <v>7</v>
      </c>
      <c r="D4" s="19" t="s">
        <v>8</v>
      </c>
      <c r="E4" s="19" t="s">
        <v>9</v>
      </c>
      <c r="F4" s="19" t="s">
        <v>10</v>
      </c>
      <c r="G4" s="20" t="s">
        <v>11</v>
      </c>
      <c r="H4" s="20" t="s">
        <v>12</v>
      </c>
      <c r="I4" s="19" t="s">
        <v>13</v>
      </c>
      <c r="J4" s="19" t="s">
        <v>7</v>
      </c>
      <c r="K4" s="19" t="s">
        <v>8</v>
      </c>
      <c r="L4" s="19" t="s">
        <v>9</v>
      </c>
      <c r="M4" s="19" t="s">
        <v>10</v>
      </c>
      <c r="N4" s="20" t="s">
        <v>11</v>
      </c>
      <c r="O4" s="20" t="s">
        <v>12</v>
      </c>
      <c r="P4" s="19" t="s">
        <v>13</v>
      </c>
      <c r="Q4" s="19" t="s">
        <v>7</v>
      </c>
      <c r="R4" s="19" t="s">
        <v>8</v>
      </c>
      <c r="S4" s="19" t="s">
        <v>9</v>
      </c>
      <c r="T4" s="19" t="s">
        <v>10</v>
      </c>
      <c r="U4" s="20" t="s">
        <v>11</v>
      </c>
      <c r="V4" s="20" t="s">
        <v>12</v>
      </c>
      <c r="W4" s="19" t="s">
        <v>13</v>
      </c>
      <c r="X4" s="19" t="s">
        <v>7</v>
      </c>
      <c r="Y4" s="19" t="s">
        <v>8</v>
      </c>
      <c r="Z4" s="19" t="s">
        <v>9</v>
      </c>
      <c r="AA4" s="19" t="s">
        <v>10</v>
      </c>
      <c r="AB4" s="20" t="s">
        <v>11</v>
      </c>
      <c r="AC4" s="20" t="s">
        <v>12</v>
      </c>
      <c r="AD4" s="19" t="s">
        <v>13</v>
      </c>
      <c r="AE4" s="19" t="s">
        <v>7</v>
      </c>
      <c r="AF4" s="19" t="s">
        <v>8</v>
      </c>
      <c r="AG4" s="21"/>
      <c r="AH4" s="29"/>
      <c r="AI4" s="29"/>
      <c r="AJ4" s="29"/>
      <c r="AK4" s="29"/>
      <c r="AL4" s="29"/>
    </row>
    <row r="5" spans="1:38" ht="44.25" customHeight="1">
      <c r="A5">
        <v>1</v>
      </c>
      <c r="B5" s="13" t="s">
        <v>14</v>
      </c>
      <c r="C5" s="22" t="str">
        <f t="shared" ref="C5:AF5" si="0">IF(C29="","",C29)</f>
        <v/>
      </c>
      <c r="D5" s="22" t="str">
        <f t="shared" si="0"/>
        <v/>
      </c>
      <c r="E5" s="22" t="str">
        <f t="shared" si="0"/>
        <v>DN-K</v>
      </c>
      <c r="F5" s="22" t="str">
        <f t="shared" si="0"/>
        <v/>
      </c>
      <c r="G5" s="23" t="str">
        <f t="shared" si="0"/>
        <v/>
      </c>
      <c r="H5" s="23" t="str">
        <f t="shared" si="0"/>
        <v/>
      </c>
      <c r="I5" s="22" t="str">
        <f t="shared" si="0"/>
        <v/>
      </c>
      <c r="J5" s="22" t="str">
        <f t="shared" si="0"/>
        <v/>
      </c>
      <c r="K5" s="22" t="str">
        <f t="shared" si="0"/>
        <v/>
      </c>
      <c r="L5" s="22" t="str">
        <f t="shared" si="0"/>
        <v>DN-K</v>
      </c>
      <c r="M5" s="22" t="str">
        <f t="shared" si="0"/>
        <v/>
      </c>
      <c r="N5" s="23" t="str">
        <f t="shared" si="0"/>
        <v>DN-K</v>
      </c>
      <c r="O5" s="23" t="str">
        <f t="shared" si="0"/>
        <v/>
      </c>
      <c r="P5" s="22" t="str">
        <f t="shared" si="0"/>
        <v>N-K</v>
      </c>
      <c r="Q5" s="22" t="str">
        <f t="shared" si="0"/>
        <v/>
      </c>
      <c r="R5" s="22" t="str">
        <f t="shared" si="0"/>
        <v/>
      </c>
      <c r="S5" s="22" t="str">
        <f t="shared" si="0"/>
        <v>DN-K</v>
      </c>
      <c r="T5" s="22" t="str">
        <f t="shared" si="0"/>
        <v/>
      </c>
      <c r="U5" s="23" t="str">
        <f t="shared" si="0"/>
        <v/>
      </c>
      <c r="V5" s="23" t="str">
        <f t="shared" si="0"/>
        <v/>
      </c>
      <c r="W5" s="22" t="str">
        <f t="shared" si="0"/>
        <v/>
      </c>
      <c r="X5" s="22" t="str">
        <f t="shared" si="0"/>
        <v/>
      </c>
      <c r="Y5" s="22" t="str">
        <f t="shared" si="0"/>
        <v/>
      </c>
      <c r="Z5" s="22" t="str">
        <f t="shared" si="0"/>
        <v>DN-K</v>
      </c>
      <c r="AA5" s="22" t="str">
        <f t="shared" si="0"/>
        <v/>
      </c>
      <c r="AB5" s="23" t="str">
        <f t="shared" si="0"/>
        <v>DN-K</v>
      </c>
      <c r="AC5" s="23" t="str">
        <f t="shared" si="0"/>
        <v/>
      </c>
      <c r="AD5" s="22" t="str">
        <f t="shared" si="0"/>
        <v>DN-K</v>
      </c>
      <c r="AE5" s="22" t="str">
        <f t="shared" si="0"/>
        <v/>
      </c>
      <c r="AF5" s="22" t="str">
        <f t="shared" si="0"/>
        <v/>
      </c>
      <c r="AG5" s="24"/>
      <c r="AH5" s="16">
        <f t="shared" ref="AH5:AH14" si="1">COUNTIF(C5:AF5,"D-K")*12+COUNTIF(C5:AF5,"D-R")*12+COUNTIF(C5:AF5,"N-K")*12+COUNTIF(C5:AF5,"N-R")*12+COUNTIF(C5:AF5,"DN-K")*24+COUNTIF(C5:AF5,"DN-R")*24</f>
        <v>180</v>
      </c>
      <c r="AI5" s="16">
        <v>180</v>
      </c>
      <c r="AJ5" s="16">
        <v>240</v>
      </c>
      <c r="AK5" s="16" t="str">
        <f t="shared" ref="AK5:AK14" si="2">IF(AH5&lt;AI5,"PONIŻEJ MIN",IF(AH5&gt;AJ5,"POWYŻEJ MAX","W NORMIE"))</f>
        <v>W NORMIE</v>
      </c>
      <c r="AL5" s="16" t="str">
        <f t="shared" ref="AL5:AL14" si="3">IF((IF(OR(AND(OR(C5="DN-K",C5="DN-R"),OR(D5="D-K",D5="D-R",D5="DN-K",D5="DN-R")),AND(OR(C5="N-K",C5="N-R"),OR(D5="DN-K",D5="DN-R"))),1,0) + IF(OR(AND(OR(D5="DN-K",D5="DN-R"),OR(E5="D-K",E5="D-R",E5="DN-K",E5="DN-R")),AND(OR(D5="N-K",D5="N-R"),OR(E5="DN-K",E5="DN-R"))),1,0) + IF(OR(AND(OR(E5="DN-K",E5="DN-R"),OR(F5="D-K",F5="D-R",F5="DN-K",F5="DN-R")),AND(OR(E5="N-K",E5="N-R"),OR(F5="DN-K",F5="DN-R"))),1,0) + IF(OR(AND(OR(F5="DN-K",F5="DN-R"),OR(G5="D-K",G5="D-R",G5="DN-K",G5="DN-R")),AND(OR(F5="N-K",F5="N-R"),OR(G5="DN-K",G5="DN-R"))),1,0) + IF(OR(AND(OR(G5="DN-K",G5="DN-R"),OR(H5="D-K",H5="D-R",H5="DN-K",H5="DN-R")),AND(OR(G5="N-K",G5="N-R"),OR(H5="DN-K",H5="DN-R"))),1,0) + IF(OR(AND(OR(H5="DN-K",H5="DN-R"),OR(I5="D-K",I5="D-R",I5="DN-K",I5="DN-R")),AND(OR(H5="N-K",H5="N-R"),OR(I5="DN-K",I5="DN-R"))),1,0) + IF(OR(AND(OR(I5="DN-K",I5="DN-R"),OR(J5="D-K",J5="D-R",J5="DN-K",J5="DN-R")),AND(OR(I5="N-K",I5="N-R"),OR(J5="DN-K",J5="DN-R"))),1,0) + IF(OR(AND(OR(J5="DN-K",J5="DN-R"),OR(K5="D-K",K5="D-R",K5="DN-K",K5="DN-R")),AND(OR(J5="N-K",J5="N-R"),OR(K5="DN-K",K5="DN-R"))),1,0) + IF(OR(AND(OR(K5="DN-K",K5="DN-R"),OR(L5="D-K",L5="D-R",L5="DN-K",L5="DN-R")),AND(OR(K5="N-K",K5="N-R"),OR(L5="DN-K",L5="DN-R"))),1,0) + IF(OR(AND(OR(L5="DN-K",L5="DN-R"),OR(M5="D-K",M5="D-R",M5="DN-K",M5="DN-R")),AND(OR(L5="N-K",L5="N-R"),OR(M5="DN-K",M5="DN-R"))),1,0) + IF(OR(AND(OR(M5="DN-K",M5="DN-R"),OR(N5="D-K",N5="D-R",N5="DN-K",N5="DN-R")),AND(OR(M5="N-K",M5="N-R"),OR(N5="DN-K",N5="DN-R"))),1,0) + IF(OR(AND(OR(N5="DN-K",N5="DN-R"),OR(O5="D-K",O5="D-R",O5="DN-K",O5="DN-R")),AND(OR(N5="N-K",N5="N-R"),OR(O5="DN-K",O5="DN-R"))),1,0) + IF(OR(AND(OR(O5="DN-K",O5="DN-R"),OR(P5="D-K",P5="D-R",P5="DN-K",P5="DN-R")),AND(OR(O5="N-K",O5="N-R"),OR(P5="DN-K",P5="DN-R"))),1,0) + IF(OR(AND(OR(P5="DN-K",P5="DN-R"),OR(Q5="D-K",Q5="D-R",Q5="DN-K",Q5="DN-R")),AND(OR(P5="N-K",P5="N-R"),OR(Q5="DN-K",Q5="DN-R"))),1,0) + IF(OR(AND(OR(Q5="DN-K",Q5="DN-R"),OR(R5="D-K",R5="D-R",R5="DN-K",R5="DN-R")),AND(OR(Q5="N-K",Q5="N-R"),OR(R5="DN-K",R5="DN-R"))),1,0) + IF(OR(AND(OR(R5="DN-K",R5="DN-R"),OR(S5="D-K",S5="D-R",S5="DN-K",S5="DN-R")),AND(OR(R5="N-K",R5="N-R"),OR(S5="DN-K",S5="DN-R"))),1,0) + IF(OR(AND(OR(S5="DN-K",S5="DN-R"),OR(T5="D-K",T5="D-R",T5="DN-K",T5="DN-R")),AND(OR(S5="N-K",S5="N-R"),OR(T5="DN-K",T5="DN-R"))),1,0) + IF(OR(AND(OR(T5="DN-K",T5="DN-R"),OR(U5="D-K",U5="D-R",U5="DN-K",U5="DN-R")),AND(OR(T5="N-K",T5="N-R"),OR(U5="DN-K",U5="DN-R"))),1,0) + IF(OR(AND(OR(U5="DN-K",U5="DN-R"),OR(V5="D-K",V5="D-R",V5="DN-K",V5="DN-R")),AND(OR(U5="N-K",U5="N-R"),OR(V5="DN-K",V5="DN-R"))),1,0) + IF(OR(AND(OR(V5="DN-K",V5="DN-R"),OR(W5="D-K",W5="D-R",W5="DN-K",W5="DN-R")),AND(OR(V5="N-K",V5="N-R"),OR(W5="DN-K",W5="DN-R"))),1,0) + IF(OR(AND(OR(W5="DN-K",W5="DN-R"),OR(X5="D-K",X5="D-R",X5="DN-K",X5="DN-R")),AND(OR(W5="N-K",W5="N-R"),OR(X5="DN-K",X5="DN-R"))),1,0) + IF(OR(AND(OR(X5="DN-K",X5="DN-R"),OR(Y5="D-K",Y5="D-R",Y5="DN-K",Y5="DN-R")),AND(OR(X5="N-K",X5="N-R"),OR(Y5="DN-K",Y5="DN-R"))),1,0) + IF(OR(AND(OR(Y5="DN-K",Y5="DN-R"),OR(Z5="D-K",Z5="D-R",Z5="DN-K",Z5="DN-R")),AND(OR(Y5="N-K",Y5="N-R"),OR(Z5="DN-K",Z5="DN-R"))),1,0) + IF(OR(AND(OR(Z5="DN-K",Z5="DN-R"),OR(AA5="D-K",AA5="D-R",AA5="DN-K",AA5="DN-R")),AND(OR(Z5="N-K",Z5="N-R"),OR(AA5="DN-K",AA5="DN-R"))),1,0) + IF(OR(AND(OR(AA5="DN-K",AA5="DN-R"),OR(AB5="D-K",AB5="D-R",AB5="DN-K",AB5="DN-R")),AND(OR(AA5="N-K",AA5="N-R"),OR(AB5="DN-K",AB5="DN-R"))),1,0) + IF(OR(AND(OR(AB5="DN-K",AB5="DN-R"),OR(AC5="D-K",AC5="D-R",AC5="DN-K",AC5="DN-R")),AND(OR(AB5="N-K",AB5="N-R"),OR(AC5="DN-K",AC5="DN-R"))),1,0) + IF(OR(AND(OR(AC5="DN-K",AC5="DN-R"),OR(AD5="D-K",AD5="D-R",AD5="DN-K",AD5="DN-R")),AND(OR(AC5="N-K",AC5="N-R"),OR(AD5="DN-K",AD5="DN-R"))),1,0) + IF(OR(AND(OR(AD5="DN-K",AD5="DN-R"),OR(AE5="D-K",AE5="D-R",AE5="DN-K",AE5="DN-R")),AND(OR(AD5="N-K",AD5="N-R"),OR(AE5="DN-K",AE5="DN-R"))),1,0) + IF(OR(AND(OR(AE5="DN-K",AE5="DN-R"),OR(AF5="D-K",AF5="D-R",AF5="DN-K",AF5="DN-R")),AND(OR(AE5="N-K",AE5="N-R"),OR(AF5="DN-K",AF5="DN-R"))),1,0))&gt;0,"KONFLIKT 36H","OK")</f>
        <v>OK</v>
      </c>
    </row>
    <row r="6" spans="1:38" ht="44.25" customHeight="1">
      <c r="A6">
        <v>2</v>
      </c>
      <c r="B6" s="13" t="s">
        <v>15</v>
      </c>
      <c r="C6" s="22" t="str">
        <f t="shared" ref="C6:AF6" si="4">IF(C30="","",C30)</f>
        <v/>
      </c>
      <c r="D6" s="22" t="str">
        <f t="shared" si="4"/>
        <v/>
      </c>
      <c r="E6" s="22" t="str">
        <f t="shared" si="4"/>
        <v/>
      </c>
      <c r="F6" s="22" t="str">
        <f t="shared" si="4"/>
        <v>DN-R</v>
      </c>
      <c r="G6" s="23" t="str">
        <f t="shared" si="4"/>
        <v>N-R</v>
      </c>
      <c r="H6" s="23" t="str">
        <f t="shared" si="4"/>
        <v/>
      </c>
      <c r="I6" s="22" t="str">
        <f t="shared" si="4"/>
        <v/>
      </c>
      <c r="J6" s="22" t="str">
        <f t="shared" si="4"/>
        <v/>
      </c>
      <c r="K6" s="22" t="str">
        <f t="shared" si="4"/>
        <v/>
      </c>
      <c r="L6" s="22" t="str">
        <f t="shared" si="4"/>
        <v/>
      </c>
      <c r="M6" s="22" t="str">
        <f t="shared" si="4"/>
        <v/>
      </c>
      <c r="N6" s="23" t="str">
        <f t="shared" si="4"/>
        <v/>
      </c>
      <c r="O6" s="23" t="str">
        <f t="shared" si="4"/>
        <v>DN-R</v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3" t="str">
        <f t="shared" si="4"/>
        <v/>
      </c>
      <c r="V6" s="23" t="str">
        <f t="shared" si="4"/>
        <v/>
      </c>
      <c r="W6" s="22" t="str">
        <f t="shared" si="4"/>
        <v>DN-R</v>
      </c>
      <c r="X6" s="22" t="str">
        <f t="shared" si="4"/>
        <v/>
      </c>
      <c r="Y6" s="22" t="str">
        <f t="shared" si="4"/>
        <v>DN-K</v>
      </c>
      <c r="Z6" s="22" t="str">
        <f t="shared" si="4"/>
        <v/>
      </c>
      <c r="AA6" s="22" t="str">
        <f t="shared" si="4"/>
        <v/>
      </c>
      <c r="AB6" s="23" t="str">
        <f t="shared" si="4"/>
        <v/>
      </c>
      <c r="AC6" s="23" t="str">
        <f t="shared" si="4"/>
        <v>DN-R</v>
      </c>
      <c r="AD6" s="22" t="str">
        <f t="shared" si="4"/>
        <v/>
      </c>
      <c r="AE6" s="22" t="str">
        <f t="shared" si="4"/>
        <v/>
      </c>
      <c r="AF6" s="22" t="str">
        <f t="shared" si="4"/>
        <v/>
      </c>
      <c r="AG6" s="24"/>
      <c r="AH6" s="16">
        <f t="shared" si="1"/>
        <v>132</v>
      </c>
      <c r="AI6" s="16">
        <v>120</v>
      </c>
      <c r="AJ6" s="16">
        <v>180</v>
      </c>
      <c r="AK6" s="16" t="str">
        <f t="shared" si="2"/>
        <v>W NORMIE</v>
      </c>
      <c r="AL6" s="16" t="str">
        <f t="shared" si="3"/>
        <v>OK</v>
      </c>
    </row>
    <row r="7" spans="1:38" ht="44.25" customHeight="1">
      <c r="A7">
        <v>3</v>
      </c>
      <c r="B7" s="13" t="s">
        <v>16</v>
      </c>
      <c r="C7" s="22" t="str">
        <f t="shared" ref="C7:AF7" si="5">IF(C31="","",C31)</f>
        <v/>
      </c>
      <c r="D7" s="22" t="str">
        <f t="shared" si="5"/>
        <v>DN-K</v>
      </c>
      <c r="E7" s="22" t="str">
        <f t="shared" si="5"/>
        <v/>
      </c>
      <c r="F7" s="22" t="str">
        <f t="shared" si="5"/>
        <v/>
      </c>
      <c r="G7" s="23" t="str">
        <f t="shared" si="5"/>
        <v>DN-K</v>
      </c>
      <c r="H7" s="23" t="str">
        <f t="shared" si="5"/>
        <v/>
      </c>
      <c r="I7" s="22" t="str">
        <f t="shared" si="5"/>
        <v/>
      </c>
      <c r="J7" s="22" t="str">
        <f t="shared" si="5"/>
        <v/>
      </c>
      <c r="K7" s="22" t="str">
        <f t="shared" si="5"/>
        <v/>
      </c>
      <c r="L7" s="22" t="str">
        <f t="shared" si="5"/>
        <v>DN-R</v>
      </c>
      <c r="M7" s="22" t="str">
        <f t="shared" si="5"/>
        <v/>
      </c>
      <c r="N7" s="23" t="str">
        <f t="shared" si="5"/>
        <v/>
      </c>
      <c r="O7" s="23" t="str">
        <f t="shared" si="5"/>
        <v>DN-K</v>
      </c>
      <c r="P7" s="22" t="str">
        <f t="shared" si="5"/>
        <v/>
      </c>
      <c r="Q7" s="22" t="str">
        <f t="shared" si="5"/>
        <v/>
      </c>
      <c r="R7" s="22" t="str">
        <f t="shared" si="5"/>
        <v/>
      </c>
      <c r="S7" s="22" t="str">
        <f t="shared" si="5"/>
        <v/>
      </c>
      <c r="T7" s="22" t="str">
        <f t="shared" si="5"/>
        <v/>
      </c>
      <c r="U7" s="23" t="str">
        <f t="shared" si="5"/>
        <v/>
      </c>
      <c r="V7" s="23" t="str">
        <f t="shared" si="5"/>
        <v/>
      </c>
      <c r="W7" s="22" t="str">
        <f t="shared" si="5"/>
        <v/>
      </c>
      <c r="X7" s="22" t="str">
        <f t="shared" si="5"/>
        <v/>
      </c>
      <c r="Y7" s="22" t="str">
        <f t="shared" si="5"/>
        <v/>
      </c>
      <c r="Z7" s="22" t="str">
        <f t="shared" si="5"/>
        <v/>
      </c>
      <c r="AA7" s="22" t="str">
        <f t="shared" si="5"/>
        <v/>
      </c>
      <c r="AB7" s="23" t="str">
        <f t="shared" si="5"/>
        <v/>
      </c>
      <c r="AC7" s="23" t="str">
        <f t="shared" si="5"/>
        <v/>
      </c>
      <c r="AD7" s="22" t="str">
        <f t="shared" si="5"/>
        <v/>
      </c>
      <c r="AE7" s="22" t="str">
        <f t="shared" si="5"/>
        <v/>
      </c>
      <c r="AF7" s="22" t="str">
        <f t="shared" si="5"/>
        <v>DN-K</v>
      </c>
      <c r="AG7" s="24"/>
      <c r="AH7" s="16">
        <f t="shared" si="1"/>
        <v>120</v>
      </c>
      <c r="AI7" s="16">
        <v>120</v>
      </c>
      <c r="AJ7" s="16">
        <v>120</v>
      </c>
      <c r="AK7" s="16" t="str">
        <f t="shared" si="2"/>
        <v>W NORMIE</v>
      </c>
      <c r="AL7" s="16" t="str">
        <f t="shared" si="3"/>
        <v>OK</v>
      </c>
    </row>
    <row r="8" spans="1:38" ht="44.25" customHeight="1">
      <c r="A8">
        <v>4</v>
      </c>
      <c r="B8" s="13" t="s">
        <v>17</v>
      </c>
      <c r="C8" s="22" t="str">
        <f t="shared" ref="C8:AF8" si="6">IF(C32="","",C32)</f>
        <v/>
      </c>
      <c r="D8" s="22" t="str">
        <f t="shared" si="6"/>
        <v/>
      </c>
      <c r="E8" s="22" t="str">
        <f t="shared" si="6"/>
        <v/>
      </c>
      <c r="F8" s="22" t="str">
        <f t="shared" si="6"/>
        <v/>
      </c>
      <c r="G8" s="23" t="str">
        <f t="shared" si="6"/>
        <v/>
      </c>
      <c r="H8" s="23" t="str">
        <f t="shared" si="6"/>
        <v/>
      </c>
      <c r="I8" s="22" t="str">
        <f t="shared" si="6"/>
        <v>DN-K</v>
      </c>
      <c r="J8" s="22" t="str">
        <f t="shared" si="6"/>
        <v/>
      </c>
      <c r="K8" s="22" t="str">
        <f t="shared" si="6"/>
        <v/>
      </c>
      <c r="L8" s="22" t="str">
        <f t="shared" si="6"/>
        <v/>
      </c>
      <c r="M8" s="22" t="str">
        <f t="shared" si="6"/>
        <v>DN-K</v>
      </c>
      <c r="N8" s="23" t="str">
        <f t="shared" si="6"/>
        <v/>
      </c>
      <c r="O8" s="23" t="str">
        <f t="shared" si="6"/>
        <v/>
      </c>
      <c r="P8" s="22" t="str">
        <f t="shared" si="6"/>
        <v/>
      </c>
      <c r="Q8" s="22" t="str">
        <f t="shared" si="6"/>
        <v>DN-R</v>
      </c>
      <c r="R8" s="22" t="str">
        <f t="shared" si="6"/>
        <v/>
      </c>
      <c r="S8" s="22" t="str">
        <f t="shared" si="6"/>
        <v/>
      </c>
      <c r="T8" s="22" t="str">
        <f t="shared" si="6"/>
        <v/>
      </c>
      <c r="U8" s="23" t="str">
        <f t="shared" si="6"/>
        <v>DN-K</v>
      </c>
      <c r="V8" s="23" t="str">
        <f t="shared" si="6"/>
        <v/>
      </c>
      <c r="W8" s="22" t="str">
        <f t="shared" si="6"/>
        <v/>
      </c>
      <c r="X8" s="22" t="str">
        <f t="shared" si="6"/>
        <v/>
      </c>
      <c r="Y8" s="22" t="str">
        <f t="shared" si="6"/>
        <v/>
      </c>
      <c r="Z8" s="22" t="str">
        <f t="shared" si="6"/>
        <v/>
      </c>
      <c r="AA8" s="22" t="str">
        <f t="shared" si="6"/>
        <v/>
      </c>
      <c r="AB8" s="23" t="str">
        <f t="shared" si="6"/>
        <v/>
      </c>
      <c r="AC8" s="23" t="str">
        <f t="shared" si="6"/>
        <v>DN-K</v>
      </c>
      <c r="AD8" s="22" t="str">
        <f t="shared" si="6"/>
        <v/>
      </c>
      <c r="AE8" s="22" t="str">
        <f t="shared" si="6"/>
        <v/>
      </c>
      <c r="AF8" s="22" t="str">
        <f t="shared" si="6"/>
        <v/>
      </c>
      <c r="AG8" s="24"/>
      <c r="AH8" s="16">
        <f t="shared" si="1"/>
        <v>120</v>
      </c>
      <c r="AI8" s="16">
        <v>120</v>
      </c>
      <c r="AJ8" s="16">
        <v>120</v>
      </c>
      <c r="AK8" s="16" t="str">
        <f t="shared" si="2"/>
        <v>W NORMIE</v>
      </c>
      <c r="AL8" s="16" t="str">
        <f t="shared" si="3"/>
        <v>OK</v>
      </c>
    </row>
    <row r="9" spans="1:38" ht="44.25" customHeight="1">
      <c r="A9">
        <v>5</v>
      </c>
      <c r="B9" s="13" t="s">
        <v>18</v>
      </c>
      <c r="C9" s="22" t="str">
        <f t="shared" ref="C9:AF9" si="7">IF(C33="","",C33)</f>
        <v>DN-K</v>
      </c>
      <c r="D9" s="22" t="str">
        <f t="shared" si="7"/>
        <v>N-R</v>
      </c>
      <c r="E9" s="22" t="str">
        <f t="shared" si="7"/>
        <v/>
      </c>
      <c r="F9" s="22" t="str">
        <f t="shared" si="7"/>
        <v>D-K</v>
      </c>
      <c r="G9" s="23" t="str">
        <f t="shared" si="7"/>
        <v/>
      </c>
      <c r="H9" s="23" t="str">
        <f t="shared" si="7"/>
        <v>DN-K</v>
      </c>
      <c r="I9" s="22" t="str">
        <f t="shared" si="7"/>
        <v/>
      </c>
      <c r="J9" s="22" t="str">
        <f t="shared" si="7"/>
        <v/>
      </c>
      <c r="K9" s="22" t="str">
        <f t="shared" si="7"/>
        <v>DN-K</v>
      </c>
      <c r="L9" s="22" t="str">
        <f t="shared" si="7"/>
        <v/>
      </c>
      <c r="M9" s="22" t="str">
        <f t="shared" si="7"/>
        <v/>
      </c>
      <c r="N9" s="23" t="str">
        <f t="shared" si="7"/>
        <v/>
      </c>
      <c r="O9" s="23" t="str">
        <f t="shared" si="7"/>
        <v/>
      </c>
      <c r="P9" s="22" t="str">
        <f t="shared" si="7"/>
        <v/>
      </c>
      <c r="Q9" s="22" t="str">
        <f t="shared" si="7"/>
        <v/>
      </c>
      <c r="R9" s="22" t="str">
        <f t="shared" si="7"/>
        <v/>
      </c>
      <c r="S9" s="22" t="str">
        <f t="shared" si="7"/>
        <v/>
      </c>
      <c r="T9" s="22" t="str">
        <f t="shared" si="7"/>
        <v>DN-K</v>
      </c>
      <c r="U9" s="23" t="str">
        <f t="shared" si="7"/>
        <v/>
      </c>
      <c r="V9" s="23" t="str">
        <f t="shared" si="7"/>
        <v/>
      </c>
      <c r="W9" s="22" t="str">
        <f t="shared" si="7"/>
        <v/>
      </c>
      <c r="X9" s="22" t="str">
        <f t="shared" si="7"/>
        <v>DN-K</v>
      </c>
      <c r="Y9" s="22" t="str">
        <f t="shared" si="7"/>
        <v/>
      </c>
      <c r="Z9" s="22" t="str">
        <f t="shared" si="7"/>
        <v/>
      </c>
      <c r="AA9" s="22" t="str">
        <f t="shared" si="7"/>
        <v>DN-K</v>
      </c>
      <c r="AB9" s="23" t="str">
        <f t="shared" si="7"/>
        <v/>
      </c>
      <c r="AC9" s="23" t="str">
        <f t="shared" si="7"/>
        <v/>
      </c>
      <c r="AD9" s="22" t="str">
        <f t="shared" si="7"/>
        <v/>
      </c>
      <c r="AE9" s="22" t="str">
        <f t="shared" si="7"/>
        <v>N-R</v>
      </c>
      <c r="AF9" s="22" t="str">
        <f t="shared" si="7"/>
        <v/>
      </c>
      <c r="AG9" s="24"/>
      <c r="AH9" s="16">
        <f t="shared" si="1"/>
        <v>180</v>
      </c>
      <c r="AI9" s="16">
        <v>180</v>
      </c>
      <c r="AJ9" s="16">
        <v>240</v>
      </c>
      <c r="AK9" s="16" t="str">
        <f t="shared" si="2"/>
        <v>W NORMIE</v>
      </c>
      <c r="AL9" s="16" t="str">
        <f t="shared" si="3"/>
        <v>OK</v>
      </c>
    </row>
    <row r="10" spans="1:38" ht="44.25" customHeight="1">
      <c r="A10">
        <v>6</v>
      </c>
      <c r="B10" s="13" t="s">
        <v>19</v>
      </c>
      <c r="C10" s="22" t="str">
        <f t="shared" ref="C10:AF10" si="8">IF(C34="","",C34)</f>
        <v>D-R</v>
      </c>
      <c r="D10" s="22" t="str">
        <f t="shared" si="8"/>
        <v/>
      </c>
      <c r="E10" s="22" t="str">
        <f t="shared" si="8"/>
        <v/>
      </c>
      <c r="F10" s="22" t="str">
        <f t="shared" si="8"/>
        <v>N-K</v>
      </c>
      <c r="G10" s="23" t="str">
        <f t="shared" si="8"/>
        <v/>
      </c>
      <c r="H10" s="23" t="str">
        <f t="shared" si="8"/>
        <v/>
      </c>
      <c r="I10" s="22" t="str">
        <f t="shared" si="8"/>
        <v/>
      </c>
      <c r="J10" s="22" t="str">
        <f t="shared" si="8"/>
        <v>DN-K</v>
      </c>
      <c r="K10" s="22" t="str">
        <f t="shared" si="8"/>
        <v/>
      </c>
      <c r="L10" s="22" t="str">
        <f t="shared" si="8"/>
        <v/>
      </c>
      <c r="M10" s="22" t="str">
        <f t="shared" si="8"/>
        <v/>
      </c>
      <c r="N10" s="23" t="str">
        <f t="shared" si="8"/>
        <v>D-R</v>
      </c>
      <c r="O10" s="23" t="str">
        <f t="shared" si="8"/>
        <v/>
      </c>
      <c r="P10" s="22" t="str">
        <f t="shared" si="8"/>
        <v/>
      </c>
      <c r="Q10" s="22" t="str">
        <f t="shared" si="8"/>
        <v/>
      </c>
      <c r="R10" s="22" t="str">
        <f t="shared" si="8"/>
        <v>DN-K</v>
      </c>
      <c r="S10" s="22" t="str">
        <f t="shared" si="8"/>
        <v/>
      </c>
      <c r="T10" s="22" t="str">
        <f t="shared" si="8"/>
        <v/>
      </c>
      <c r="U10" s="23" t="str">
        <f t="shared" si="8"/>
        <v/>
      </c>
      <c r="V10" s="23" t="str">
        <f t="shared" si="8"/>
        <v>N-K</v>
      </c>
      <c r="W10" s="22" t="str">
        <f t="shared" si="8"/>
        <v/>
      </c>
      <c r="X10" s="22" t="str">
        <f t="shared" si="8"/>
        <v/>
      </c>
      <c r="Y10" s="22" t="str">
        <f t="shared" si="8"/>
        <v/>
      </c>
      <c r="Z10" s="22" t="str">
        <f t="shared" si="8"/>
        <v/>
      </c>
      <c r="AA10" s="22" t="str">
        <f t="shared" si="8"/>
        <v/>
      </c>
      <c r="AB10" s="23" t="str">
        <f t="shared" si="8"/>
        <v/>
      </c>
      <c r="AC10" s="23" t="str">
        <f t="shared" si="8"/>
        <v/>
      </c>
      <c r="AD10" s="22" t="str">
        <f t="shared" si="8"/>
        <v/>
      </c>
      <c r="AE10" s="22" t="str">
        <f t="shared" si="8"/>
        <v>DN-K</v>
      </c>
      <c r="AF10" s="22" t="str">
        <f t="shared" si="8"/>
        <v/>
      </c>
      <c r="AG10" s="24"/>
      <c r="AH10" s="16">
        <f t="shared" si="1"/>
        <v>120</v>
      </c>
      <c r="AI10" s="16">
        <v>120</v>
      </c>
      <c r="AJ10" s="16">
        <v>120</v>
      </c>
      <c r="AK10" s="16" t="str">
        <f t="shared" si="2"/>
        <v>W NORMIE</v>
      </c>
      <c r="AL10" s="16" t="str">
        <f t="shared" si="3"/>
        <v>OK</v>
      </c>
    </row>
    <row r="11" spans="1:38" ht="44.25" customHeight="1">
      <c r="A11">
        <v>7</v>
      </c>
      <c r="B11" s="13" t="s">
        <v>20</v>
      </c>
      <c r="C11" s="22" t="str">
        <f t="shared" ref="C11:AF11" si="9">IF(C35="","",C35)</f>
        <v/>
      </c>
      <c r="D11" s="22" t="str">
        <f t="shared" si="9"/>
        <v/>
      </c>
      <c r="E11" s="22" t="str">
        <f t="shared" si="9"/>
        <v>DN-R</v>
      </c>
      <c r="F11" s="22" t="str">
        <f t="shared" si="9"/>
        <v/>
      </c>
      <c r="G11" s="23" t="str">
        <f t="shared" si="9"/>
        <v/>
      </c>
      <c r="H11" s="23" t="str">
        <f t="shared" si="9"/>
        <v>DN-R</v>
      </c>
      <c r="I11" s="22" t="str">
        <f t="shared" si="9"/>
        <v/>
      </c>
      <c r="J11" s="22" t="str">
        <f t="shared" si="9"/>
        <v/>
      </c>
      <c r="K11" s="22" t="str">
        <f t="shared" si="9"/>
        <v/>
      </c>
      <c r="L11" s="22" t="str">
        <f t="shared" si="9"/>
        <v/>
      </c>
      <c r="M11" s="22" t="str">
        <f t="shared" si="9"/>
        <v/>
      </c>
      <c r="N11" s="23" t="str">
        <f t="shared" si="9"/>
        <v/>
      </c>
      <c r="O11" s="23" t="str">
        <f t="shared" si="9"/>
        <v/>
      </c>
      <c r="P11" s="22" t="str">
        <f t="shared" si="9"/>
        <v>DN-R</v>
      </c>
      <c r="Q11" s="22" t="str">
        <f t="shared" si="9"/>
        <v/>
      </c>
      <c r="R11" s="22" t="str">
        <f t="shared" si="9"/>
        <v/>
      </c>
      <c r="S11" s="22" t="str">
        <f t="shared" si="9"/>
        <v/>
      </c>
      <c r="T11" s="22" t="str">
        <f t="shared" si="9"/>
        <v/>
      </c>
      <c r="U11" s="23" t="str">
        <f t="shared" si="9"/>
        <v>DN-R</v>
      </c>
      <c r="V11" s="23" t="str">
        <f t="shared" si="9"/>
        <v/>
      </c>
      <c r="W11" s="22" t="str">
        <f t="shared" si="9"/>
        <v/>
      </c>
      <c r="X11" s="22" t="str">
        <f t="shared" si="9"/>
        <v/>
      </c>
      <c r="Y11" s="22" t="str">
        <f t="shared" si="9"/>
        <v>DN-R</v>
      </c>
      <c r="Z11" s="22" t="str">
        <f t="shared" si="9"/>
        <v/>
      </c>
      <c r="AA11" s="22" t="str">
        <f t="shared" si="9"/>
        <v>DN-R</v>
      </c>
      <c r="AB11" s="23" t="str">
        <f t="shared" si="9"/>
        <v/>
      </c>
      <c r="AC11" s="23" t="str">
        <f t="shared" si="9"/>
        <v/>
      </c>
      <c r="AD11" s="22" t="str">
        <f t="shared" si="9"/>
        <v/>
      </c>
      <c r="AE11" s="22" t="str">
        <f t="shared" si="9"/>
        <v/>
      </c>
      <c r="AF11" s="22" t="str">
        <f t="shared" si="9"/>
        <v/>
      </c>
      <c r="AG11" s="24"/>
      <c r="AH11" s="16">
        <f t="shared" si="1"/>
        <v>144</v>
      </c>
      <c r="AI11" s="16">
        <v>120</v>
      </c>
      <c r="AJ11" s="16">
        <v>180</v>
      </c>
      <c r="AK11" s="16" t="str">
        <f t="shared" si="2"/>
        <v>W NORMIE</v>
      </c>
      <c r="AL11" s="16" t="str">
        <f t="shared" si="3"/>
        <v>OK</v>
      </c>
    </row>
    <row r="12" spans="1:38" ht="44.25" customHeight="1">
      <c r="A12">
        <v>8</v>
      </c>
      <c r="B12" s="13" t="s">
        <v>21</v>
      </c>
      <c r="C12" s="22" t="str">
        <f t="shared" ref="C12:AF12" si="10">IF(C36="","",C36)</f>
        <v>N-R</v>
      </c>
      <c r="D12" s="22" t="str">
        <f t="shared" si="10"/>
        <v>D-R</v>
      </c>
      <c r="E12" s="22" t="str">
        <f t="shared" si="10"/>
        <v/>
      </c>
      <c r="F12" s="22" t="str">
        <f t="shared" si="10"/>
        <v/>
      </c>
      <c r="G12" s="23" t="str">
        <f t="shared" si="10"/>
        <v>D-R</v>
      </c>
      <c r="H12" s="23" t="str">
        <f t="shared" si="10"/>
        <v/>
      </c>
      <c r="I12" s="22" t="str">
        <f t="shared" si="10"/>
        <v>DN-R</v>
      </c>
      <c r="J12" s="22" t="str">
        <f t="shared" si="10"/>
        <v/>
      </c>
      <c r="K12" s="22" t="str">
        <f t="shared" si="10"/>
        <v>DN-R</v>
      </c>
      <c r="L12" s="22" t="str">
        <f t="shared" si="10"/>
        <v/>
      </c>
      <c r="M12" s="22" t="str">
        <f t="shared" si="10"/>
        <v/>
      </c>
      <c r="N12" s="23" t="str">
        <f t="shared" si="10"/>
        <v>N-R</v>
      </c>
      <c r="O12" s="23" t="str">
        <f t="shared" si="10"/>
        <v/>
      </c>
      <c r="P12" s="22" t="str">
        <f t="shared" si="10"/>
        <v/>
      </c>
      <c r="Q12" s="22" t="str">
        <f t="shared" si="10"/>
        <v/>
      </c>
      <c r="R12" s="22" t="str">
        <f t="shared" si="10"/>
        <v>D-R</v>
      </c>
      <c r="S12" s="22" t="str">
        <f t="shared" si="10"/>
        <v>DN-R</v>
      </c>
      <c r="T12" s="22" t="str">
        <f t="shared" si="10"/>
        <v/>
      </c>
      <c r="U12" s="23" t="str">
        <f t="shared" si="10"/>
        <v/>
      </c>
      <c r="V12" s="23" t="str">
        <f t="shared" si="10"/>
        <v>DN-R</v>
      </c>
      <c r="W12" s="22" t="str">
        <f t="shared" si="10"/>
        <v/>
      </c>
      <c r="X12" s="22" t="str">
        <f t="shared" si="10"/>
        <v/>
      </c>
      <c r="Y12" s="22" t="str">
        <f t="shared" si="10"/>
        <v/>
      </c>
      <c r="Z12" s="22" t="str">
        <f t="shared" si="10"/>
        <v/>
      </c>
      <c r="AA12" s="22" t="str">
        <f t="shared" si="10"/>
        <v/>
      </c>
      <c r="AB12" s="23" t="str">
        <f t="shared" si="10"/>
        <v/>
      </c>
      <c r="AC12" s="23" t="str">
        <f t="shared" si="10"/>
        <v/>
      </c>
      <c r="AD12" s="22" t="str">
        <f t="shared" si="10"/>
        <v>D-R</v>
      </c>
      <c r="AE12" s="22" t="str">
        <f t="shared" si="10"/>
        <v/>
      </c>
      <c r="AF12" s="22" t="str">
        <f t="shared" si="10"/>
        <v/>
      </c>
      <c r="AG12" s="24"/>
      <c r="AH12" s="16">
        <f t="shared" si="1"/>
        <v>168</v>
      </c>
      <c r="AI12" s="16">
        <v>120</v>
      </c>
      <c r="AJ12" s="16">
        <v>180</v>
      </c>
      <c r="AK12" s="16" t="str">
        <f t="shared" si="2"/>
        <v>W NORMIE</v>
      </c>
      <c r="AL12" s="16" t="str">
        <f t="shared" si="3"/>
        <v>OK</v>
      </c>
    </row>
    <row r="13" spans="1:38" ht="44.25" customHeight="1">
      <c r="A13">
        <v>9</v>
      </c>
      <c r="B13" s="13" t="s">
        <v>22</v>
      </c>
      <c r="C13" s="22" t="str">
        <f t="shared" ref="C13:AF13" si="11">IF(C37="","",C37)</f>
        <v/>
      </c>
      <c r="D13" s="22" t="str">
        <f t="shared" si="11"/>
        <v/>
      </c>
      <c r="E13" s="22" t="str">
        <f t="shared" si="11"/>
        <v/>
      </c>
      <c r="F13" s="22" t="str">
        <f t="shared" si="11"/>
        <v/>
      </c>
      <c r="G13" s="23" t="str">
        <f t="shared" si="11"/>
        <v/>
      </c>
      <c r="H13" s="23" t="str">
        <f t="shared" si="11"/>
        <v/>
      </c>
      <c r="I13" s="22" t="str">
        <f t="shared" si="11"/>
        <v/>
      </c>
      <c r="J13" s="22" t="str">
        <f t="shared" si="11"/>
        <v/>
      </c>
      <c r="K13" s="22" t="str">
        <f t="shared" si="11"/>
        <v/>
      </c>
      <c r="L13" s="22" t="str">
        <f t="shared" si="11"/>
        <v/>
      </c>
      <c r="M13" s="22" t="str">
        <f t="shared" si="11"/>
        <v/>
      </c>
      <c r="N13" s="23" t="str">
        <f t="shared" si="11"/>
        <v/>
      </c>
      <c r="O13" s="23" t="str">
        <f t="shared" si="11"/>
        <v/>
      </c>
      <c r="P13" s="22" t="str">
        <f t="shared" si="11"/>
        <v>D-K</v>
      </c>
      <c r="Q13" s="22" t="str">
        <f t="shared" si="11"/>
        <v/>
      </c>
      <c r="R13" s="22" t="str">
        <f t="shared" si="11"/>
        <v/>
      </c>
      <c r="S13" s="22" t="str">
        <f t="shared" si="11"/>
        <v/>
      </c>
      <c r="T13" s="22" t="str">
        <f t="shared" si="11"/>
        <v>DN-R</v>
      </c>
      <c r="U13" s="23" t="str">
        <f t="shared" si="11"/>
        <v/>
      </c>
      <c r="V13" s="23" t="str">
        <f t="shared" si="11"/>
        <v/>
      </c>
      <c r="W13" s="22" t="str">
        <f t="shared" si="11"/>
        <v/>
      </c>
      <c r="X13" s="22" t="str">
        <f t="shared" si="11"/>
        <v>DN-R</v>
      </c>
      <c r="Y13" s="22" t="str">
        <f t="shared" si="11"/>
        <v/>
      </c>
      <c r="Z13" s="22" t="str">
        <f t="shared" si="11"/>
        <v/>
      </c>
      <c r="AA13" s="22" t="str">
        <f t="shared" si="11"/>
        <v/>
      </c>
      <c r="AB13" s="23" t="str">
        <f t="shared" si="11"/>
        <v>DN-R</v>
      </c>
      <c r="AC13" s="23" t="str">
        <f t="shared" si="11"/>
        <v/>
      </c>
      <c r="AD13" s="22" t="str">
        <f t="shared" si="11"/>
        <v>N-R</v>
      </c>
      <c r="AE13" s="22" t="str">
        <f t="shared" si="11"/>
        <v/>
      </c>
      <c r="AF13" s="22" t="str">
        <f t="shared" si="11"/>
        <v>DN-R</v>
      </c>
      <c r="AG13" s="24"/>
      <c r="AH13" s="16">
        <f t="shared" si="1"/>
        <v>120</v>
      </c>
      <c r="AI13" s="16">
        <v>120</v>
      </c>
      <c r="AJ13" s="16">
        <v>120</v>
      </c>
      <c r="AK13" s="16" t="str">
        <f t="shared" si="2"/>
        <v>W NORMIE</v>
      </c>
      <c r="AL13" s="16" t="str">
        <f t="shared" si="3"/>
        <v>OK</v>
      </c>
    </row>
    <row r="14" spans="1:38" ht="44.25" customHeight="1">
      <c r="A14">
        <v>10</v>
      </c>
      <c r="B14" s="13" t="s">
        <v>23</v>
      </c>
      <c r="C14" s="22" t="str">
        <f t="shared" ref="C14:AF14" si="12">IF(C38="","",C38)</f>
        <v/>
      </c>
      <c r="D14" s="22" t="str">
        <f t="shared" si="12"/>
        <v/>
      </c>
      <c r="E14" s="22" t="str">
        <f t="shared" si="12"/>
        <v/>
      </c>
      <c r="F14" s="22" t="str">
        <f t="shared" si="12"/>
        <v/>
      </c>
      <c r="G14" s="23" t="str">
        <f t="shared" si="12"/>
        <v/>
      </c>
      <c r="H14" s="23" t="str">
        <f t="shared" si="12"/>
        <v/>
      </c>
      <c r="I14" s="22" t="str">
        <f t="shared" si="12"/>
        <v/>
      </c>
      <c r="J14" s="22" t="str">
        <f t="shared" si="12"/>
        <v>DN-R</v>
      </c>
      <c r="K14" s="22" t="str">
        <f t="shared" si="12"/>
        <v/>
      </c>
      <c r="L14" s="22" t="str">
        <f t="shared" si="12"/>
        <v/>
      </c>
      <c r="M14" s="22" t="str">
        <f t="shared" si="12"/>
        <v>DN-R</v>
      </c>
      <c r="N14" s="23" t="str">
        <f t="shared" si="12"/>
        <v/>
      </c>
      <c r="O14" s="23" t="str">
        <f t="shared" si="12"/>
        <v/>
      </c>
      <c r="P14" s="22" t="str">
        <f t="shared" si="12"/>
        <v/>
      </c>
      <c r="Q14" s="22" t="str">
        <f t="shared" si="12"/>
        <v>DN-K</v>
      </c>
      <c r="R14" s="22" t="str">
        <f t="shared" si="12"/>
        <v>N-R</v>
      </c>
      <c r="S14" s="22" t="str">
        <f t="shared" si="12"/>
        <v/>
      </c>
      <c r="T14" s="22" t="str">
        <f t="shared" si="12"/>
        <v/>
      </c>
      <c r="U14" s="23" t="str">
        <f t="shared" si="12"/>
        <v/>
      </c>
      <c r="V14" s="23" t="str">
        <f t="shared" si="12"/>
        <v>D-K</v>
      </c>
      <c r="W14" s="22" t="str">
        <f t="shared" si="12"/>
        <v>DN-K</v>
      </c>
      <c r="X14" s="22" t="str">
        <f t="shared" si="12"/>
        <v/>
      </c>
      <c r="Y14" s="22" t="str">
        <f t="shared" si="12"/>
        <v/>
      </c>
      <c r="Z14" s="22" t="str">
        <f t="shared" si="12"/>
        <v>DN-R</v>
      </c>
      <c r="AA14" s="22" t="str">
        <f t="shared" si="12"/>
        <v/>
      </c>
      <c r="AB14" s="23" t="str">
        <f t="shared" si="12"/>
        <v/>
      </c>
      <c r="AC14" s="23" t="str">
        <f t="shared" si="12"/>
        <v/>
      </c>
      <c r="AD14" s="22" t="str">
        <f t="shared" si="12"/>
        <v/>
      </c>
      <c r="AE14" s="22" t="str">
        <f t="shared" si="12"/>
        <v>D-R</v>
      </c>
      <c r="AF14" s="22" t="str">
        <f t="shared" si="12"/>
        <v/>
      </c>
      <c r="AG14" s="24"/>
      <c r="AH14" s="16">
        <f t="shared" si="1"/>
        <v>156</v>
      </c>
      <c r="AI14" s="16">
        <v>120</v>
      </c>
      <c r="AJ14" s="16">
        <v>180</v>
      </c>
      <c r="AK14" s="16" t="str">
        <f t="shared" si="2"/>
        <v>W NORMIE</v>
      </c>
      <c r="AL14" s="16" t="str">
        <f t="shared" si="3"/>
        <v>OK</v>
      </c>
    </row>
    <row r="15" spans="1:38" ht="39" customHeight="1">
      <c r="C15" s="4"/>
      <c r="D15" s="4"/>
      <c r="J15" s="4"/>
      <c r="K15" s="4"/>
      <c r="Q15" s="4"/>
      <c r="R15" s="4"/>
      <c r="X15" s="4"/>
      <c r="Y15" s="4"/>
      <c r="AE15" s="4"/>
      <c r="AF15" s="4"/>
    </row>
    <row r="16" spans="1:38" ht="39" customHeight="1">
      <c r="A16" s="28" t="s">
        <v>24</v>
      </c>
      <c r="B16" s="28"/>
      <c r="C16" s="4">
        <f t="shared" ref="C16:AF16" si="13">COUNTIF(C5:C14,"D-K")+COUNTIF(C5:C14,"D-R")+COUNTIF(C5:C14,"DN-K")+COUNTIF(C5:C14,"DN-R")</f>
        <v>2</v>
      </c>
      <c r="D16" s="4">
        <f t="shared" si="13"/>
        <v>2</v>
      </c>
      <c r="E16">
        <f t="shared" si="13"/>
        <v>2</v>
      </c>
      <c r="F16">
        <f t="shared" si="13"/>
        <v>2</v>
      </c>
      <c r="G16">
        <f t="shared" si="13"/>
        <v>2</v>
      </c>
      <c r="H16">
        <f t="shared" si="13"/>
        <v>2</v>
      </c>
      <c r="I16">
        <f t="shared" si="13"/>
        <v>2</v>
      </c>
      <c r="J16" s="4">
        <f t="shared" si="13"/>
        <v>2</v>
      </c>
      <c r="K16" s="4">
        <f t="shared" si="13"/>
        <v>2</v>
      </c>
      <c r="L16">
        <f t="shared" si="13"/>
        <v>2</v>
      </c>
      <c r="M16">
        <f t="shared" si="13"/>
        <v>2</v>
      </c>
      <c r="N16">
        <f t="shared" si="13"/>
        <v>2</v>
      </c>
      <c r="O16">
        <f t="shared" si="13"/>
        <v>2</v>
      </c>
      <c r="P16">
        <f t="shared" si="13"/>
        <v>2</v>
      </c>
      <c r="Q16" s="4">
        <f t="shared" si="13"/>
        <v>2</v>
      </c>
      <c r="R16" s="4">
        <f t="shared" si="13"/>
        <v>2</v>
      </c>
      <c r="S16">
        <f t="shared" si="13"/>
        <v>2</v>
      </c>
      <c r="T16">
        <f t="shared" si="13"/>
        <v>2</v>
      </c>
      <c r="U16">
        <f t="shared" si="13"/>
        <v>2</v>
      </c>
      <c r="V16">
        <f t="shared" si="13"/>
        <v>2</v>
      </c>
      <c r="W16">
        <f t="shared" si="13"/>
        <v>2</v>
      </c>
      <c r="X16" s="4">
        <f t="shared" si="13"/>
        <v>2</v>
      </c>
      <c r="Y16" s="4">
        <f t="shared" si="13"/>
        <v>2</v>
      </c>
      <c r="Z16">
        <f t="shared" si="13"/>
        <v>2</v>
      </c>
      <c r="AA16">
        <f t="shared" si="13"/>
        <v>2</v>
      </c>
      <c r="AB16">
        <f t="shared" si="13"/>
        <v>2</v>
      </c>
      <c r="AC16">
        <f t="shared" si="13"/>
        <v>2</v>
      </c>
      <c r="AD16">
        <f t="shared" si="13"/>
        <v>2</v>
      </c>
      <c r="AE16" s="4">
        <f t="shared" si="13"/>
        <v>2</v>
      </c>
      <c r="AF16" s="4">
        <f t="shared" si="13"/>
        <v>2</v>
      </c>
    </row>
    <row r="17" spans="1:36" ht="39" customHeight="1">
      <c r="A17" s="28" t="s">
        <v>25</v>
      </c>
      <c r="B17" s="28"/>
      <c r="C17" s="4">
        <f t="shared" ref="C17:AF17" si="14">COUNTIF(C5:C14,"N-K")+COUNTIF(C5:C14,"N-R")+COUNTIF(C5:C14,"DN-K")+COUNTIF(C5:C14,"DN-R")</f>
        <v>2</v>
      </c>
      <c r="D17" s="4">
        <f t="shared" si="14"/>
        <v>2</v>
      </c>
      <c r="E17">
        <f t="shared" si="14"/>
        <v>2</v>
      </c>
      <c r="F17">
        <f t="shared" si="14"/>
        <v>2</v>
      </c>
      <c r="G17">
        <f t="shared" si="14"/>
        <v>2</v>
      </c>
      <c r="H17">
        <f t="shared" si="14"/>
        <v>2</v>
      </c>
      <c r="I17">
        <f t="shared" si="14"/>
        <v>2</v>
      </c>
      <c r="J17" s="4">
        <f t="shared" si="14"/>
        <v>2</v>
      </c>
      <c r="K17" s="4">
        <f t="shared" si="14"/>
        <v>2</v>
      </c>
      <c r="L17">
        <f t="shared" si="14"/>
        <v>2</v>
      </c>
      <c r="M17">
        <f t="shared" si="14"/>
        <v>2</v>
      </c>
      <c r="N17">
        <f t="shared" si="14"/>
        <v>2</v>
      </c>
      <c r="O17">
        <f t="shared" si="14"/>
        <v>2</v>
      </c>
      <c r="P17">
        <f t="shared" si="14"/>
        <v>2</v>
      </c>
      <c r="Q17" s="4">
        <f t="shared" si="14"/>
        <v>2</v>
      </c>
      <c r="R17" s="4">
        <f t="shared" si="14"/>
        <v>2</v>
      </c>
      <c r="S17">
        <f t="shared" si="14"/>
        <v>2</v>
      </c>
      <c r="T17">
        <f t="shared" si="14"/>
        <v>2</v>
      </c>
      <c r="U17">
        <f t="shared" si="14"/>
        <v>2</v>
      </c>
      <c r="V17">
        <f t="shared" si="14"/>
        <v>2</v>
      </c>
      <c r="W17">
        <f t="shared" si="14"/>
        <v>2</v>
      </c>
      <c r="X17" s="4">
        <f t="shared" si="14"/>
        <v>2</v>
      </c>
      <c r="Y17" s="4">
        <f t="shared" si="14"/>
        <v>2</v>
      </c>
      <c r="Z17">
        <f t="shared" si="14"/>
        <v>2</v>
      </c>
      <c r="AA17">
        <f t="shared" si="14"/>
        <v>2</v>
      </c>
      <c r="AB17">
        <f t="shared" si="14"/>
        <v>2</v>
      </c>
      <c r="AC17">
        <f t="shared" si="14"/>
        <v>2</v>
      </c>
      <c r="AD17">
        <f t="shared" si="14"/>
        <v>2</v>
      </c>
      <c r="AE17" s="4">
        <f t="shared" si="14"/>
        <v>2</v>
      </c>
      <c r="AF17" s="4">
        <f t="shared" si="14"/>
        <v>2</v>
      </c>
    </row>
    <row r="18" spans="1:36" ht="39" customHeight="1">
      <c r="A18" s="28" t="s">
        <v>26</v>
      </c>
      <c r="B18" s="28"/>
      <c r="C18" s="4">
        <f>MAX(0,Ustawienia!$E$4-C16)</f>
        <v>0</v>
      </c>
      <c r="D18" s="4">
        <f>MAX(0,Ustawienia!$E$4-D16)</f>
        <v>0</v>
      </c>
      <c r="E18">
        <f>MAX(0,Ustawienia!$E$4-E16)</f>
        <v>0</v>
      </c>
      <c r="F18">
        <f>MAX(0,Ustawienia!$E$4-F16)</f>
        <v>0</v>
      </c>
      <c r="G18">
        <f>MAX(0,Ustawienia!$E$4-G16)</f>
        <v>0</v>
      </c>
      <c r="H18">
        <f>MAX(0,Ustawienia!$E$4-H16)</f>
        <v>0</v>
      </c>
      <c r="I18">
        <f>MAX(0,Ustawienia!$E$4-I16)</f>
        <v>0</v>
      </c>
      <c r="J18" s="4">
        <f>MAX(0,Ustawienia!$E$4-J16)</f>
        <v>0</v>
      </c>
      <c r="K18" s="4">
        <f>MAX(0,Ustawienia!$E$4-K16)</f>
        <v>0</v>
      </c>
      <c r="L18">
        <f>MAX(0,Ustawienia!$E$4-L16)</f>
        <v>0</v>
      </c>
      <c r="M18">
        <f>MAX(0,Ustawienia!$E$4-M16)</f>
        <v>0</v>
      </c>
      <c r="N18">
        <f>MAX(0,Ustawienia!$E$4-N16)</f>
        <v>0</v>
      </c>
      <c r="O18">
        <f>MAX(0,Ustawienia!$E$4-O16)</f>
        <v>0</v>
      </c>
      <c r="P18">
        <f>MAX(0,Ustawienia!$E$4-P16)</f>
        <v>0</v>
      </c>
      <c r="Q18" s="4">
        <f>MAX(0,Ustawienia!$E$4-Q16)</f>
        <v>0</v>
      </c>
      <c r="R18" s="4">
        <f>MAX(0,Ustawienia!$E$4-R16)</f>
        <v>0</v>
      </c>
      <c r="S18">
        <f>MAX(0,Ustawienia!$E$4-S16)</f>
        <v>0</v>
      </c>
      <c r="T18">
        <f>MAX(0,Ustawienia!$E$4-T16)</f>
        <v>0</v>
      </c>
      <c r="U18">
        <f>MAX(0,Ustawienia!$E$4-U16)</f>
        <v>0</v>
      </c>
      <c r="V18">
        <f>MAX(0,Ustawienia!$E$4-V16)</f>
        <v>0</v>
      </c>
      <c r="W18">
        <f>MAX(0,Ustawienia!$E$4-W16)</f>
        <v>0</v>
      </c>
      <c r="X18" s="4">
        <f>MAX(0,Ustawienia!$E$4-X16)</f>
        <v>0</v>
      </c>
      <c r="Y18" s="4">
        <f>MAX(0,Ustawienia!$E$4-Y16)</f>
        <v>0</v>
      </c>
      <c r="Z18">
        <f>MAX(0,Ustawienia!$E$4-Z16)</f>
        <v>0</v>
      </c>
      <c r="AA18">
        <f>MAX(0,Ustawienia!$E$4-AA16)</f>
        <v>0</v>
      </c>
      <c r="AB18">
        <f>MAX(0,Ustawienia!$E$4-AB16)</f>
        <v>0</v>
      </c>
      <c r="AC18">
        <f>MAX(0,Ustawienia!$E$4-AC16)</f>
        <v>0</v>
      </c>
      <c r="AD18">
        <f>MAX(0,Ustawienia!$E$4-AD16)</f>
        <v>0</v>
      </c>
      <c r="AE18" s="4">
        <f>MAX(0,Ustawienia!$E$4-AE16)</f>
        <v>0</v>
      </c>
      <c r="AF18" s="4">
        <f>MAX(0,Ustawienia!$E$4-AF16)</f>
        <v>0</v>
      </c>
    </row>
    <row r="19" spans="1:36" ht="39" customHeight="1">
      <c r="A19" s="28" t="s">
        <v>27</v>
      </c>
      <c r="B19" s="28"/>
      <c r="C19" s="4">
        <f>MAX(0,Ustawienia!$E$5-C17)</f>
        <v>0</v>
      </c>
      <c r="D19" s="4">
        <f>MAX(0,Ustawienia!$E$5-D17)</f>
        <v>0</v>
      </c>
      <c r="E19">
        <f>MAX(0,Ustawienia!$E$5-E17)</f>
        <v>0</v>
      </c>
      <c r="F19">
        <f>MAX(0,Ustawienia!$E$5-F17)</f>
        <v>0</v>
      </c>
      <c r="G19">
        <f>MAX(0,Ustawienia!$E$5-G17)</f>
        <v>0</v>
      </c>
      <c r="H19">
        <f>MAX(0,Ustawienia!$E$5-H17)</f>
        <v>0</v>
      </c>
      <c r="I19">
        <f>MAX(0,Ustawienia!$E$5-I17)</f>
        <v>0</v>
      </c>
      <c r="J19" s="4">
        <f>MAX(0,Ustawienia!$E$5-J17)</f>
        <v>0</v>
      </c>
      <c r="K19" s="4">
        <f>MAX(0,Ustawienia!$E$5-K17)</f>
        <v>0</v>
      </c>
      <c r="L19">
        <f>MAX(0,Ustawienia!$E$5-L17)</f>
        <v>0</v>
      </c>
      <c r="M19">
        <f>MAX(0,Ustawienia!$E$5-M17)</f>
        <v>0</v>
      </c>
      <c r="N19">
        <f>MAX(0,Ustawienia!$E$5-N17)</f>
        <v>0</v>
      </c>
      <c r="O19">
        <f>MAX(0,Ustawienia!$E$5-O17)</f>
        <v>0</v>
      </c>
      <c r="P19">
        <f>MAX(0,Ustawienia!$E$5-P17)</f>
        <v>0</v>
      </c>
      <c r="Q19" s="4">
        <f>MAX(0,Ustawienia!$E$5-Q17)</f>
        <v>0</v>
      </c>
      <c r="R19" s="4">
        <f>MAX(0,Ustawienia!$E$5-R17)</f>
        <v>0</v>
      </c>
      <c r="S19">
        <f>MAX(0,Ustawienia!$E$5-S17)</f>
        <v>0</v>
      </c>
      <c r="T19">
        <f>MAX(0,Ustawienia!$E$5-T17)</f>
        <v>0</v>
      </c>
      <c r="U19">
        <f>MAX(0,Ustawienia!$E$5-U17)</f>
        <v>0</v>
      </c>
      <c r="V19">
        <f>MAX(0,Ustawienia!$E$5-V17)</f>
        <v>0</v>
      </c>
      <c r="W19">
        <f>MAX(0,Ustawienia!$E$5-W17)</f>
        <v>0</v>
      </c>
      <c r="X19" s="4">
        <f>MAX(0,Ustawienia!$E$5-X17)</f>
        <v>0</v>
      </c>
      <c r="Y19" s="4">
        <f>MAX(0,Ustawienia!$E$5-Y17)</f>
        <v>0</v>
      </c>
      <c r="Z19">
        <f>MAX(0,Ustawienia!$E$5-Z17)</f>
        <v>0</v>
      </c>
      <c r="AA19">
        <f>MAX(0,Ustawienia!$E$5-AA17)</f>
        <v>0</v>
      </c>
      <c r="AB19">
        <f>MAX(0,Ustawienia!$E$5-AB17)</f>
        <v>0</v>
      </c>
      <c r="AC19">
        <f>MAX(0,Ustawienia!$E$5-AC17)</f>
        <v>0</v>
      </c>
      <c r="AD19">
        <f>MAX(0,Ustawienia!$E$5-AD17)</f>
        <v>0</v>
      </c>
      <c r="AE19" s="4">
        <f>MAX(0,Ustawienia!$E$5-AE17)</f>
        <v>0</v>
      </c>
      <c r="AF19" s="4">
        <f>MAX(0,Ustawienia!$E$5-AF17)</f>
        <v>0</v>
      </c>
    </row>
    <row r="20" spans="1:36" ht="39" customHeight="1">
      <c r="A20" s="28" t="s">
        <v>28</v>
      </c>
      <c r="B20" s="28"/>
      <c r="C20" s="4" t="str">
        <f t="shared" ref="C20:AF20" si="15">IF(AND(C18&gt;0,C19&gt;0),"D/N",IF(C18&gt;0,"D",IF(C19&gt;0,"N","")))</f>
        <v/>
      </c>
      <c r="D20" s="4" t="str">
        <f t="shared" si="15"/>
        <v/>
      </c>
      <c r="E20" t="str">
        <f t="shared" si="15"/>
        <v/>
      </c>
      <c r="F20" t="str">
        <f t="shared" si="15"/>
        <v/>
      </c>
      <c r="G20" t="str">
        <f t="shared" si="15"/>
        <v/>
      </c>
      <c r="H20" t="str">
        <f t="shared" si="15"/>
        <v/>
      </c>
      <c r="I20" t="str">
        <f t="shared" si="15"/>
        <v/>
      </c>
      <c r="J20" s="4" t="str">
        <f t="shared" si="15"/>
        <v/>
      </c>
      <c r="K20" s="4" t="str">
        <f t="shared" si="15"/>
        <v/>
      </c>
      <c r="L20" t="str">
        <f t="shared" si="15"/>
        <v/>
      </c>
      <c r="M20" t="str">
        <f t="shared" si="15"/>
        <v/>
      </c>
      <c r="N20" t="str">
        <f t="shared" si="15"/>
        <v/>
      </c>
      <c r="O20" t="str">
        <f t="shared" si="15"/>
        <v/>
      </c>
      <c r="P20" t="str">
        <f t="shared" si="15"/>
        <v/>
      </c>
      <c r="Q20" s="4" t="str">
        <f t="shared" si="15"/>
        <v/>
      </c>
      <c r="R20" s="4" t="str">
        <f t="shared" si="15"/>
        <v/>
      </c>
      <c r="S20" t="str">
        <f t="shared" si="15"/>
        <v/>
      </c>
      <c r="T20" t="str">
        <f t="shared" si="15"/>
        <v/>
      </c>
      <c r="U20" t="str">
        <f t="shared" si="15"/>
        <v/>
      </c>
      <c r="V20" t="str">
        <f t="shared" si="15"/>
        <v/>
      </c>
      <c r="W20" t="str">
        <f t="shared" si="15"/>
        <v/>
      </c>
      <c r="X20" s="4" t="str">
        <f t="shared" si="15"/>
        <v/>
      </c>
      <c r="Y20" s="4" t="str">
        <f t="shared" si="15"/>
        <v/>
      </c>
      <c r="Z20" t="str">
        <f t="shared" si="15"/>
        <v/>
      </c>
      <c r="AA20" t="str">
        <f t="shared" si="15"/>
        <v/>
      </c>
      <c r="AB20" t="str">
        <f t="shared" si="15"/>
        <v/>
      </c>
      <c r="AC20" t="str">
        <f t="shared" si="15"/>
        <v/>
      </c>
      <c r="AD20" t="str">
        <f t="shared" si="15"/>
        <v/>
      </c>
      <c r="AE20" s="4" t="str">
        <f t="shared" si="15"/>
        <v/>
      </c>
      <c r="AF20" s="4" t="str">
        <f t="shared" si="15"/>
        <v/>
      </c>
    </row>
    <row r="22" spans="1:36" ht="60.2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spans="1:36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</row>
    <row r="25" spans="1:36" ht="46.25" customHeight="1">
      <c r="A25" s="32" t="s">
        <v>29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spans="1:3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6" ht="46.25" customHeight="1">
      <c r="A27" s="36" t="s">
        <v>0</v>
      </c>
      <c r="B27" s="36" t="s">
        <v>1</v>
      </c>
      <c r="C27" s="19">
        <v>1</v>
      </c>
      <c r="D27" s="19">
        <v>2</v>
      </c>
      <c r="E27" s="19">
        <v>3</v>
      </c>
      <c r="F27" s="19">
        <v>4</v>
      </c>
      <c r="G27" s="20">
        <v>5</v>
      </c>
      <c r="H27" s="20">
        <v>6</v>
      </c>
      <c r="I27" s="19">
        <v>7</v>
      </c>
      <c r="J27" s="19">
        <v>8</v>
      </c>
      <c r="K27" s="19">
        <v>9</v>
      </c>
      <c r="L27" s="19">
        <v>10</v>
      </c>
      <c r="M27" s="19">
        <v>11</v>
      </c>
      <c r="N27" s="20">
        <v>12</v>
      </c>
      <c r="O27" s="20">
        <v>13</v>
      </c>
      <c r="P27" s="19">
        <v>14</v>
      </c>
      <c r="Q27" s="19">
        <v>15</v>
      </c>
      <c r="R27" s="19">
        <v>16</v>
      </c>
      <c r="S27" s="19">
        <v>17</v>
      </c>
      <c r="T27" s="19">
        <v>18</v>
      </c>
      <c r="U27" s="20">
        <v>19</v>
      </c>
      <c r="V27" s="20">
        <v>20</v>
      </c>
      <c r="W27" s="19">
        <v>21</v>
      </c>
      <c r="X27" s="19">
        <v>22</v>
      </c>
      <c r="Y27" s="19">
        <v>23</v>
      </c>
      <c r="Z27" s="19">
        <v>24</v>
      </c>
      <c r="AA27" s="19">
        <v>25</v>
      </c>
      <c r="AB27" s="20">
        <v>26</v>
      </c>
      <c r="AC27" s="20">
        <v>27</v>
      </c>
      <c r="AD27" s="19">
        <v>28</v>
      </c>
      <c r="AE27" s="19">
        <v>29</v>
      </c>
      <c r="AF27" s="19">
        <v>30</v>
      </c>
      <c r="AG27" s="8"/>
    </row>
    <row r="28" spans="1:36" ht="46.25" customHeight="1">
      <c r="A28" s="36"/>
      <c r="B28" s="36"/>
      <c r="C28" s="19" t="s">
        <v>7</v>
      </c>
      <c r="D28" s="19" t="s">
        <v>8</v>
      </c>
      <c r="E28" s="19" t="s">
        <v>9</v>
      </c>
      <c r="F28" s="19" t="s">
        <v>10</v>
      </c>
      <c r="G28" s="20" t="s">
        <v>11</v>
      </c>
      <c r="H28" s="20" t="s">
        <v>12</v>
      </c>
      <c r="I28" s="19" t="s">
        <v>13</v>
      </c>
      <c r="J28" s="19" t="s">
        <v>7</v>
      </c>
      <c r="K28" s="19" t="s">
        <v>8</v>
      </c>
      <c r="L28" s="19" t="s">
        <v>9</v>
      </c>
      <c r="M28" s="19" t="s">
        <v>10</v>
      </c>
      <c r="N28" s="20" t="s">
        <v>11</v>
      </c>
      <c r="O28" s="20" t="s">
        <v>12</v>
      </c>
      <c r="P28" s="19" t="s">
        <v>13</v>
      </c>
      <c r="Q28" s="19" t="s">
        <v>7</v>
      </c>
      <c r="R28" s="19" t="s">
        <v>8</v>
      </c>
      <c r="S28" s="19" t="s">
        <v>9</v>
      </c>
      <c r="T28" s="19" t="s">
        <v>10</v>
      </c>
      <c r="U28" s="20" t="s">
        <v>11</v>
      </c>
      <c r="V28" s="20" t="s">
        <v>12</v>
      </c>
      <c r="W28" s="19" t="s">
        <v>13</v>
      </c>
      <c r="X28" s="19" t="s">
        <v>7</v>
      </c>
      <c r="Y28" s="19" t="s">
        <v>8</v>
      </c>
      <c r="Z28" s="19" t="s">
        <v>9</v>
      </c>
      <c r="AA28" s="19" t="s">
        <v>10</v>
      </c>
      <c r="AB28" s="20" t="s">
        <v>11</v>
      </c>
      <c r="AC28" s="20" t="s">
        <v>12</v>
      </c>
      <c r="AD28" s="19" t="s">
        <v>13</v>
      </c>
      <c r="AE28" s="19" t="s">
        <v>7</v>
      </c>
      <c r="AF28" s="19" t="s">
        <v>8</v>
      </c>
      <c r="AG28" s="8"/>
    </row>
    <row r="29" spans="1:36" ht="44.25" customHeight="1">
      <c r="A29" s="12">
        <v>1</v>
      </c>
      <c r="B29" s="13" t="s">
        <v>14</v>
      </c>
      <c r="C29" s="22"/>
      <c r="D29" s="22"/>
      <c r="E29" s="22" t="s">
        <v>30</v>
      </c>
      <c r="F29" s="22"/>
      <c r="G29" s="23"/>
      <c r="H29" s="23"/>
      <c r="I29" s="22"/>
      <c r="J29" s="22"/>
      <c r="K29" s="22"/>
      <c r="L29" s="22" t="s">
        <v>30</v>
      </c>
      <c r="M29" s="22"/>
      <c r="N29" s="23" t="s">
        <v>30</v>
      </c>
      <c r="O29" s="23"/>
      <c r="P29" s="22" t="s">
        <v>31</v>
      </c>
      <c r="Q29" s="22"/>
      <c r="R29" s="22"/>
      <c r="S29" s="22" t="s">
        <v>30</v>
      </c>
      <c r="T29" s="22"/>
      <c r="U29" s="23"/>
      <c r="V29" s="23"/>
      <c r="W29" s="22"/>
      <c r="X29" s="22"/>
      <c r="Y29" s="22"/>
      <c r="Z29" s="22" t="s">
        <v>30</v>
      </c>
      <c r="AA29" s="22"/>
      <c r="AB29" s="23" t="s">
        <v>30</v>
      </c>
      <c r="AC29" s="23"/>
      <c r="AD29" s="22" t="s">
        <v>30</v>
      </c>
      <c r="AE29" s="22"/>
      <c r="AF29" s="22"/>
      <c r="AG29" s="9"/>
    </row>
    <row r="30" spans="1:36" ht="44.25" customHeight="1">
      <c r="A30" s="12">
        <v>2</v>
      </c>
      <c r="B30" s="13" t="s">
        <v>15</v>
      </c>
      <c r="C30" s="22"/>
      <c r="D30" s="22"/>
      <c r="E30" s="22"/>
      <c r="F30" s="22" t="s">
        <v>32</v>
      </c>
      <c r="G30" s="23" t="s">
        <v>33</v>
      </c>
      <c r="H30" s="23"/>
      <c r="I30" s="22"/>
      <c r="J30" s="22"/>
      <c r="K30" s="22"/>
      <c r="L30" s="22"/>
      <c r="M30" s="22"/>
      <c r="N30" s="23"/>
      <c r="O30" s="23" t="s">
        <v>32</v>
      </c>
      <c r="P30" s="22"/>
      <c r="Q30" s="22"/>
      <c r="R30" s="22"/>
      <c r="S30" s="22"/>
      <c r="T30" s="22"/>
      <c r="U30" s="23"/>
      <c r="V30" s="23"/>
      <c r="W30" s="22" t="s">
        <v>32</v>
      </c>
      <c r="X30" s="22"/>
      <c r="Y30" s="22" t="s">
        <v>30</v>
      </c>
      <c r="Z30" s="22"/>
      <c r="AA30" s="22"/>
      <c r="AB30" s="23"/>
      <c r="AC30" s="23" t="s">
        <v>32</v>
      </c>
      <c r="AD30" s="22"/>
      <c r="AE30" s="22"/>
      <c r="AF30" s="22"/>
      <c r="AG30" s="9"/>
    </row>
    <row r="31" spans="1:36" ht="44.25" customHeight="1">
      <c r="A31" s="12">
        <v>3</v>
      </c>
      <c r="B31" s="13" t="s">
        <v>16</v>
      </c>
      <c r="C31" s="22"/>
      <c r="D31" s="22" t="s">
        <v>30</v>
      </c>
      <c r="E31" s="22"/>
      <c r="F31" s="22"/>
      <c r="G31" s="23" t="s">
        <v>30</v>
      </c>
      <c r="H31" s="23"/>
      <c r="I31" s="22"/>
      <c r="J31" s="22"/>
      <c r="K31" s="22"/>
      <c r="L31" s="22" t="s">
        <v>32</v>
      </c>
      <c r="M31" s="22"/>
      <c r="N31" s="23"/>
      <c r="O31" s="23" t="s">
        <v>30</v>
      </c>
      <c r="P31" s="22"/>
      <c r="Q31" s="22"/>
      <c r="R31" s="22"/>
      <c r="S31" s="22"/>
      <c r="T31" s="22"/>
      <c r="U31" s="23"/>
      <c r="V31" s="23"/>
      <c r="W31" s="22"/>
      <c r="X31" s="22"/>
      <c r="Y31" s="22"/>
      <c r="Z31" s="22"/>
      <c r="AA31" s="22"/>
      <c r="AB31" s="23"/>
      <c r="AC31" s="23"/>
      <c r="AD31" s="22"/>
      <c r="AE31" s="22"/>
      <c r="AF31" s="22" t="s">
        <v>30</v>
      </c>
      <c r="AG31" s="9"/>
    </row>
    <row r="32" spans="1:36" ht="44.25" customHeight="1">
      <c r="A32" s="12">
        <v>4</v>
      </c>
      <c r="B32" s="13" t="s">
        <v>17</v>
      </c>
      <c r="C32" s="22"/>
      <c r="D32" s="22"/>
      <c r="E32" s="22"/>
      <c r="F32" s="22"/>
      <c r="G32" s="23"/>
      <c r="H32" s="23"/>
      <c r="I32" s="22" t="s">
        <v>30</v>
      </c>
      <c r="J32" s="22"/>
      <c r="K32" s="22"/>
      <c r="L32" s="22"/>
      <c r="M32" s="22" t="s">
        <v>30</v>
      </c>
      <c r="N32" s="23"/>
      <c r="O32" s="23"/>
      <c r="P32" s="22"/>
      <c r="Q32" s="22" t="s">
        <v>32</v>
      </c>
      <c r="R32" s="22"/>
      <c r="S32" s="22"/>
      <c r="T32" s="22"/>
      <c r="U32" s="23" t="s">
        <v>30</v>
      </c>
      <c r="V32" s="23"/>
      <c r="W32" s="22"/>
      <c r="X32" s="22"/>
      <c r="Y32" s="22"/>
      <c r="Z32" s="22"/>
      <c r="AA32" s="22"/>
      <c r="AB32" s="23"/>
      <c r="AC32" s="23" t="s">
        <v>30</v>
      </c>
      <c r="AD32" s="22"/>
      <c r="AE32" s="22"/>
      <c r="AF32" s="22"/>
      <c r="AG32" s="9"/>
    </row>
    <row r="33" spans="1:33" ht="44.25" customHeight="1">
      <c r="A33" s="12">
        <v>5</v>
      </c>
      <c r="B33" s="13" t="s">
        <v>18</v>
      </c>
      <c r="C33" s="22" t="s">
        <v>30</v>
      </c>
      <c r="D33" s="22" t="s">
        <v>33</v>
      </c>
      <c r="E33" s="22"/>
      <c r="F33" s="22" t="s">
        <v>34</v>
      </c>
      <c r="G33" s="23"/>
      <c r="H33" s="23" t="s">
        <v>30</v>
      </c>
      <c r="I33" s="22"/>
      <c r="J33" s="22"/>
      <c r="K33" s="22" t="s">
        <v>30</v>
      </c>
      <c r="L33" s="22"/>
      <c r="M33" s="22"/>
      <c r="N33" s="23"/>
      <c r="O33" s="23"/>
      <c r="P33" s="22"/>
      <c r="Q33" s="22"/>
      <c r="R33" s="22"/>
      <c r="S33" s="22"/>
      <c r="T33" s="22" t="s">
        <v>30</v>
      </c>
      <c r="U33" s="23"/>
      <c r="V33" s="23"/>
      <c r="W33" s="22"/>
      <c r="X33" s="22" t="s">
        <v>30</v>
      </c>
      <c r="Y33" s="22"/>
      <c r="Z33" s="22"/>
      <c r="AA33" s="22" t="s">
        <v>30</v>
      </c>
      <c r="AB33" s="23"/>
      <c r="AC33" s="23"/>
      <c r="AD33" s="22"/>
      <c r="AE33" s="22" t="s">
        <v>33</v>
      </c>
      <c r="AF33" s="22"/>
      <c r="AG33" s="9"/>
    </row>
    <row r="34" spans="1:33" ht="44.25" customHeight="1">
      <c r="A34" s="12">
        <v>6</v>
      </c>
      <c r="B34" s="13" t="s">
        <v>19</v>
      </c>
      <c r="C34" s="22" t="s">
        <v>35</v>
      </c>
      <c r="D34" s="22"/>
      <c r="E34" s="22"/>
      <c r="F34" s="22" t="s">
        <v>31</v>
      </c>
      <c r="G34" s="23"/>
      <c r="H34" s="23"/>
      <c r="I34" s="22"/>
      <c r="J34" s="22" t="s">
        <v>30</v>
      </c>
      <c r="K34" s="22"/>
      <c r="L34" s="22"/>
      <c r="M34" s="22"/>
      <c r="N34" s="23" t="s">
        <v>35</v>
      </c>
      <c r="O34" s="23"/>
      <c r="P34" s="22"/>
      <c r="Q34" s="22"/>
      <c r="R34" s="22" t="s">
        <v>30</v>
      </c>
      <c r="S34" s="22"/>
      <c r="T34" s="22"/>
      <c r="U34" s="23"/>
      <c r="V34" s="23" t="s">
        <v>31</v>
      </c>
      <c r="W34" s="22"/>
      <c r="X34" s="22"/>
      <c r="Y34" s="22"/>
      <c r="Z34" s="22"/>
      <c r="AA34" s="22"/>
      <c r="AB34" s="23"/>
      <c r="AC34" s="23"/>
      <c r="AD34" s="22"/>
      <c r="AE34" s="22" t="s">
        <v>30</v>
      </c>
      <c r="AF34" s="22"/>
      <c r="AG34" s="9"/>
    </row>
    <row r="35" spans="1:33" ht="44.25" customHeight="1">
      <c r="A35" s="12">
        <v>7</v>
      </c>
      <c r="B35" s="13" t="s">
        <v>20</v>
      </c>
      <c r="C35" s="22"/>
      <c r="D35" s="22"/>
      <c r="E35" s="22" t="s">
        <v>32</v>
      </c>
      <c r="F35" s="22"/>
      <c r="G35" s="23"/>
      <c r="H35" s="23" t="s">
        <v>32</v>
      </c>
      <c r="I35" s="22"/>
      <c r="J35" s="22"/>
      <c r="K35" s="22"/>
      <c r="L35" s="22"/>
      <c r="M35" s="22"/>
      <c r="N35" s="23"/>
      <c r="O35" s="23"/>
      <c r="P35" s="22" t="s">
        <v>32</v>
      </c>
      <c r="Q35" s="22"/>
      <c r="R35" s="22"/>
      <c r="S35" s="22"/>
      <c r="T35" s="22"/>
      <c r="U35" s="23" t="s">
        <v>32</v>
      </c>
      <c r="V35" s="23"/>
      <c r="W35" s="22"/>
      <c r="X35" s="22"/>
      <c r="Y35" s="22" t="s">
        <v>32</v>
      </c>
      <c r="Z35" s="22"/>
      <c r="AA35" s="22" t="s">
        <v>32</v>
      </c>
      <c r="AB35" s="23"/>
      <c r="AC35" s="23"/>
      <c r="AD35" s="22"/>
      <c r="AE35" s="22"/>
      <c r="AF35" s="22"/>
      <c r="AG35" s="9"/>
    </row>
    <row r="36" spans="1:33" ht="44.25" customHeight="1">
      <c r="A36" s="12">
        <v>8</v>
      </c>
      <c r="B36" s="13" t="s">
        <v>21</v>
      </c>
      <c r="C36" s="22" t="s">
        <v>33</v>
      </c>
      <c r="D36" s="22" t="s">
        <v>35</v>
      </c>
      <c r="E36" s="22"/>
      <c r="F36" s="22"/>
      <c r="G36" s="23" t="s">
        <v>35</v>
      </c>
      <c r="H36" s="23"/>
      <c r="I36" s="22" t="s">
        <v>32</v>
      </c>
      <c r="J36" s="22"/>
      <c r="K36" s="22" t="s">
        <v>32</v>
      </c>
      <c r="L36" s="22"/>
      <c r="M36" s="22"/>
      <c r="N36" s="23" t="s">
        <v>33</v>
      </c>
      <c r="O36" s="23"/>
      <c r="P36" s="22"/>
      <c r="Q36" s="22"/>
      <c r="R36" s="22" t="s">
        <v>35</v>
      </c>
      <c r="S36" s="22" t="s">
        <v>32</v>
      </c>
      <c r="T36" s="22"/>
      <c r="U36" s="23"/>
      <c r="V36" s="23" t="s">
        <v>32</v>
      </c>
      <c r="W36" s="22"/>
      <c r="X36" s="22"/>
      <c r="Y36" s="22"/>
      <c r="Z36" s="22"/>
      <c r="AA36" s="22"/>
      <c r="AB36" s="23"/>
      <c r="AC36" s="23"/>
      <c r="AD36" s="22" t="s">
        <v>35</v>
      </c>
      <c r="AE36" s="22"/>
      <c r="AF36" s="22"/>
      <c r="AG36" s="9"/>
    </row>
    <row r="37" spans="1:33" ht="44.25" customHeight="1">
      <c r="A37" s="12">
        <v>9</v>
      </c>
      <c r="B37" s="13" t="s">
        <v>22</v>
      </c>
      <c r="C37" s="22"/>
      <c r="D37" s="22"/>
      <c r="E37" s="22"/>
      <c r="F37" s="22"/>
      <c r="G37" s="23"/>
      <c r="H37" s="23"/>
      <c r="I37" s="22"/>
      <c r="J37" s="22"/>
      <c r="K37" s="22"/>
      <c r="L37" s="22"/>
      <c r="M37" s="22"/>
      <c r="N37" s="23"/>
      <c r="O37" s="23"/>
      <c r="P37" s="22" t="s">
        <v>34</v>
      </c>
      <c r="Q37" s="22"/>
      <c r="R37" s="22"/>
      <c r="S37" s="22"/>
      <c r="T37" s="22" t="s">
        <v>32</v>
      </c>
      <c r="U37" s="23"/>
      <c r="V37" s="23"/>
      <c r="W37" s="22"/>
      <c r="X37" s="22" t="s">
        <v>32</v>
      </c>
      <c r="Y37" s="22"/>
      <c r="Z37" s="22"/>
      <c r="AA37" s="22"/>
      <c r="AB37" s="23" t="s">
        <v>32</v>
      </c>
      <c r="AC37" s="23"/>
      <c r="AD37" s="22" t="s">
        <v>33</v>
      </c>
      <c r="AE37" s="22"/>
      <c r="AF37" s="22" t="s">
        <v>32</v>
      </c>
      <c r="AG37" s="9"/>
    </row>
    <row r="38" spans="1:33" ht="44.25" customHeight="1">
      <c r="A38" s="12">
        <v>10</v>
      </c>
      <c r="B38" s="13" t="s">
        <v>23</v>
      </c>
      <c r="C38" s="22"/>
      <c r="D38" s="22"/>
      <c r="E38" s="22"/>
      <c r="F38" s="22"/>
      <c r="G38" s="23"/>
      <c r="H38" s="23"/>
      <c r="I38" s="22"/>
      <c r="J38" s="22" t="s">
        <v>32</v>
      </c>
      <c r="K38" s="22"/>
      <c r="L38" s="22"/>
      <c r="M38" s="22" t="s">
        <v>32</v>
      </c>
      <c r="N38" s="23"/>
      <c r="O38" s="23"/>
      <c r="P38" s="22"/>
      <c r="Q38" s="22" t="s">
        <v>30</v>
      </c>
      <c r="R38" s="22" t="s">
        <v>33</v>
      </c>
      <c r="S38" s="22"/>
      <c r="T38" s="22"/>
      <c r="U38" s="23"/>
      <c r="V38" s="23" t="s">
        <v>34</v>
      </c>
      <c r="W38" s="22" t="s">
        <v>30</v>
      </c>
      <c r="X38" s="22"/>
      <c r="Y38" s="22"/>
      <c r="Z38" s="22" t="s">
        <v>32</v>
      </c>
      <c r="AA38" s="22"/>
      <c r="AB38" s="23"/>
      <c r="AC38" s="23"/>
      <c r="AD38" s="22"/>
      <c r="AE38" s="22" t="s">
        <v>35</v>
      </c>
      <c r="AF38" s="22"/>
      <c r="AG38" s="9"/>
    </row>
    <row r="40" spans="1:33" ht="57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</row>
    <row r="43" spans="1:33" ht="42.75" customHeight="1">
      <c r="A43" s="30" t="s">
        <v>36</v>
      </c>
      <c r="B43" s="30"/>
      <c r="C43" s="5">
        <f t="shared" ref="C43:AF43" si="16">COUNTIF(C5:C14,"D-K")*12+COUNTIF(C5:C14,"D-R")*12+COUNTIF(C5:C14,"N-K")*12+COUNTIF(C5:C14,"N-R")*12+COUNTIF(C5:C14,"DN-K")*24+COUNTIF(C5:C14,"DN-R")*24</f>
        <v>48</v>
      </c>
      <c r="D43" s="5">
        <f t="shared" si="16"/>
        <v>48</v>
      </c>
      <c r="E43" s="5">
        <f t="shared" si="16"/>
        <v>48</v>
      </c>
      <c r="F43" s="5">
        <f t="shared" si="16"/>
        <v>48</v>
      </c>
      <c r="G43" s="5">
        <f t="shared" si="16"/>
        <v>48</v>
      </c>
      <c r="H43" s="5">
        <f t="shared" si="16"/>
        <v>48</v>
      </c>
      <c r="I43" s="5">
        <f t="shared" si="16"/>
        <v>48</v>
      </c>
      <c r="J43" s="5">
        <f t="shared" si="16"/>
        <v>48</v>
      </c>
      <c r="K43" s="5">
        <f t="shared" si="16"/>
        <v>48</v>
      </c>
      <c r="L43" s="5">
        <f t="shared" si="16"/>
        <v>48</v>
      </c>
      <c r="M43" s="5">
        <f t="shared" si="16"/>
        <v>48</v>
      </c>
      <c r="N43" s="5">
        <f t="shared" si="16"/>
        <v>48</v>
      </c>
      <c r="O43" s="5">
        <f t="shared" si="16"/>
        <v>48</v>
      </c>
      <c r="P43" s="5">
        <f t="shared" si="16"/>
        <v>48</v>
      </c>
      <c r="Q43" s="5">
        <f t="shared" si="16"/>
        <v>48</v>
      </c>
      <c r="R43" s="5">
        <f t="shared" si="16"/>
        <v>48</v>
      </c>
      <c r="S43" s="5">
        <f t="shared" si="16"/>
        <v>48</v>
      </c>
      <c r="T43" s="5">
        <f t="shared" si="16"/>
        <v>48</v>
      </c>
      <c r="U43" s="5">
        <f t="shared" si="16"/>
        <v>48</v>
      </c>
      <c r="V43" s="5">
        <f t="shared" si="16"/>
        <v>48</v>
      </c>
      <c r="W43" s="5">
        <f t="shared" si="16"/>
        <v>48</v>
      </c>
      <c r="X43" s="5">
        <f t="shared" si="16"/>
        <v>48</v>
      </c>
      <c r="Y43" s="5">
        <f t="shared" si="16"/>
        <v>48</v>
      </c>
      <c r="Z43" s="5">
        <f t="shared" si="16"/>
        <v>48</v>
      </c>
      <c r="AA43" s="5">
        <f t="shared" si="16"/>
        <v>48</v>
      </c>
      <c r="AB43" s="5">
        <f t="shared" si="16"/>
        <v>48</v>
      </c>
      <c r="AC43" s="5">
        <f t="shared" si="16"/>
        <v>48</v>
      </c>
      <c r="AD43" s="5">
        <f t="shared" si="16"/>
        <v>48</v>
      </c>
      <c r="AE43" s="5">
        <f t="shared" si="16"/>
        <v>48</v>
      </c>
      <c r="AF43" s="5">
        <f t="shared" si="16"/>
        <v>48</v>
      </c>
      <c r="AG43" s="5"/>
    </row>
    <row r="44" spans="1:33" ht="42.75" customHeight="1">
      <c r="A44" s="30" t="s">
        <v>37</v>
      </c>
      <c r="B44" s="30"/>
      <c r="C44" s="5" t="str">
        <f t="shared" ref="C44:AF44" si="17">IF(C43&gt;48,"PRZEKROCZONE",IF(C43=48,"MAX","OK"))</f>
        <v>MAX</v>
      </c>
      <c r="D44" s="5" t="str">
        <f t="shared" si="17"/>
        <v>MAX</v>
      </c>
      <c r="E44" s="5" t="str">
        <f t="shared" si="17"/>
        <v>MAX</v>
      </c>
      <c r="F44" s="5" t="str">
        <f t="shared" si="17"/>
        <v>MAX</v>
      </c>
      <c r="G44" s="5" t="str">
        <f t="shared" si="17"/>
        <v>MAX</v>
      </c>
      <c r="H44" s="5" t="str">
        <f t="shared" si="17"/>
        <v>MAX</v>
      </c>
      <c r="I44" s="5" t="str">
        <f t="shared" si="17"/>
        <v>MAX</v>
      </c>
      <c r="J44" s="5" t="str">
        <f t="shared" si="17"/>
        <v>MAX</v>
      </c>
      <c r="K44" s="5" t="str">
        <f t="shared" si="17"/>
        <v>MAX</v>
      </c>
      <c r="L44" s="5" t="str">
        <f t="shared" si="17"/>
        <v>MAX</v>
      </c>
      <c r="M44" s="5" t="str">
        <f t="shared" si="17"/>
        <v>MAX</v>
      </c>
      <c r="N44" s="5" t="str">
        <f t="shared" si="17"/>
        <v>MAX</v>
      </c>
      <c r="O44" s="5" t="str">
        <f t="shared" si="17"/>
        <v>MAX</v>
      </c>
      <c r="P44" s="5" t="str">
        <f t="shared" si="17"/>
        <v>MAX</v>
      </c>
      <c r="Q44" s="5" t="str">
        <f t="shared" si="17"/>
        <v>MAX</v>
      </c>
      <c r="R44" s="5" t="str">
        <f t="shared" si="17"/>
        <v>MAX</v>
      </c>
      <c r="S44" s="5" t="str">
        <f t="shared" si="17"/>
        <v>MAX</v>
      </c>
      <c r="T44" s="5" t="str">
        <f t="shared" si="17"/>
        <v>MAX</v>
      </c>
      <c r="U44" s="5" t="str">
        <f t="shared" si="17"/>
        <v>MAX</v>
      </c>
      <c r="V44" s="5" t="str">
        <f t="shared" si="17"/>
        <v>MAX</v>
      </c>
      <c r="W44" s="5" t="str">
        <f t="shared" si="17"/>
        <v>MAX</v>
      </c>
      <c r="X44" s="5" t="str">
        <f t="shared" si="17"/>
        <v>MAX</v>
      </c>
      <c r="Y44" s="5" t="str">
        <f t="shared" si="17"/>
        <v>MAX</v>
      </c>
      <c r="Z44" s="5" t="str">
        <f t="shared" si="17"/>
        <v>MAX</v>
      </c>
      <c r="AA44" s="5" t="str">
        <f t="shared" si="17"/>
        <v>MAX</v>
      </c>
      <c r="AB44" s="5" t="str">
        <f t="shared" si="17"/>
        <v>MAX</v>
      </c>
      <c r="AC44" s="5" t="str">
        <f t="shared" si="17"/>
        <v>MAX</v>
      </c>
      <c r="AD44" s="5" t="str">
        <f t="shared" si="17"/>
        <v>MAX</v>
      </c>
      <c r="AE44" s="5" t="str">
        <f t="shared" si="17"/>
        <v>MAX</v>
      </c>
      <c r="AF44" s="5" t="str">
        <f t="shared" si="17"/>
        <v>MAX</v>
      </c>
      <c r="AG44" s="5"/>
    </row>
    <row r="46" spans="1:33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spans="1:3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9" spans="1:33" ht="42.75" customHeight="1">
      <c r="A49" s="33" t="s">
        <v>38</v>
      </c>
      <c r="B49" s="33"/>
      <c r="C49" s="5">
        <f t="shared" ref="C49:AF49" si="18">COUNTIF(C5:C14,"D-K")+COUNTIF(C5:C14,"DN-K")</f>
        <v>1</v>
      </c>
      <c r="D49" s="5">
        <f t="shared" si="18"/>
        <v>1</v>
      </c>
      <c r="E49" s="5">
        <f t="shared" si="18"/>
        <v>1</v>
      </c>
      <c r="F49" s="5">
        <f t="shared" si="18"/>
        <v>1</v>
      </c>
      <c r="G49" s="5">
        <f t="shared" si="18"/>
        <v>1</v>
      </c>
      <c r="H49" s="5">
        <f t="shared" si="18"/>
        <v>1</v>
      </c>
      <c r="I49" s="5">
        <f t="shared" si="18"/>
        <v>1</v>
      </c>
      <c r="J49" s="5">
        <f t="shared" si="18"/>
        <v>1</v>
      </c>
      <c r="K49" s="5">
        <f t="shared" si="18"/>
        <v>1</v>
      </c>
      <c r="L49" s="5">
        <f t="shared" si="18"/>
        <v>1</v>
      </c>
      <c r="M49" s="5">
        <f t="shared" si="18"/>
        <v>1</v>
      </c>
      <c r="N49" s="5">
        <f t="shared" si="18"/>
        <v>1</v>
      </c>
      <c r="O49" s="5">
        <f t="shared" si="18"/>
        <v>1</v>
      </c>
      <c r="P49" s="5">
        <f t="shared" si="18"/>
        <v>1</v>
      </c>
      <c r="Q49" s="5">
        <f t="shared" si="18"/>
        <v>1</v>
      </c>
      <c r="R49" s="5">
        <f t="shared" si="18"/>
        <v>1</v>
      </c>
      <c r="S49" s="5">
        <f t="shared" si="18"/>
        <v>1</v>
      </c>
      <c r="T49" s="5">
        <f t="shared" si="18"/>
        <v>1</v>
      </c>
      <c r="U49" s="5">
        <f t="shared" si="18"/>
        <v>1</v>
      </c>
      <c r="V49" s="5">
        <f t="shared" si="18"/>
        <v>1</v>
      </c>
      <c r="W49" s="5">
        <f t="shared" si="18"/>
        <v>1</v>
      </c>
      <c r="X49" s="5">
        <f t="shared" si="18"/>
        <v>1</v>
      </c>
      <c r="Y49" s="5">
        <f t="shared" si="18"/>
        <v>1</v>
      </c>
      <c r="Z49" s="5">
        <f t="shared" si="18"/>
        <v>1</v>
      </c>
      <c r="AA49" s="5">
        <f t="shared" si="18"/>
        <v>1</v>
      </c>
      <c r="AB49" s="5">
        <f t="shared" si="18"/>
        <v>1</v>
      </c>
      <c r="AC49" s="5">
        <f t="shared" si="18"/>
        <v>1</v>
      </c>
      <c r="AD49" s="5">
        <f t="shared" si="18"/>
        <v>1</v>
      </c>
      <c r="AE49" s="5">
        <f t="shared" si="18"/>
        <v>1</v>
      </c>
      <c r="AF49" s="5">
        <f t="shared" si="18"/>
        <v>1</v>
      </c>
      <c r="AG49" s="5"/>
    </row>
    <row r="50" spans="1:33" ht="42.75" customHeight="1">
      <c r="A50" s="33" t="s">
        <v>39</v>
      </c>
      <c r="B50" s="33"/>
      <c r="C50" s="5">
        <f t="shared" ref="C50:AF50" si="19">COUNTIF(C5:C14,"D-R")+COUNTIF(C5:C14,"DN-R")</f>
        <v>1</v>
      </c>
      <c r="D50" s="5">
        <f t="shared" si="19"/>
        <v>1</v>
      </c>
      <c r="E50" s="5">
        <f t="shared" si="19"/>
        <v>1</v>
      </c>
      <c r="F50" s="5">
        <f t="shared" si="19"/>
        <v>1</v>
      </c>
      <c r="G50" s="5">
        <f t="shared" si="19"/>
        <v>1</v>
      </c>
      <c r="H50" s="5">
        <f t="shared" si="19"/>
        <v>1</v>
      </c>
      <c r="I50" s="5">
        <f t="shared" si="19"/>
        <v>1</v>
      </c>
      <c r="J50" s="5">
        <f t="shared" si="19"/>
        <v>1</v>
      </c>
      <c r="K50" s="5">
        <f t="shared" si="19"/>
        <v>1</v>
      </c>
      <c r="L50" s="5">
        <f t="shared" si="19"/>
        <v>1</v>
      </c>
      <c r="M50" s="5">
        <f t="shared" si="19"/>
        <v>1</v>
      </c>
      <c r="N50" s="5">
        <f t="shared" si="19"/>
        <v>1</v>
      </c>
      <c r="O50" s="5">
        <f t="shared" si="19"/>
        <v>1</v>
      </c>
      <c r="P50" s="5">
        <f t="shared" si="19"/>
        <v>1</v>
      </c>
      <c r="Q50" s="5">
        <f t="shared" si="19"/>
        <v>1</v>
      </c>
      <c r="R50" s="5">
        <f t="shared" si="19"/>
        <v>1</v>
      </c>
      <c r="S50" s="5">
        <f t="shared" si="19"/>
        <v>1</v>
      </c>
      <c r="T50" s="5">
        <f t="shared" si="19"/>
        <v>1</v>
      </c>
      <c r="U50" s="5">
        <f t="shared" si="19"/>
        <v>1</v>
      </c>
      <c r="V50" s="5">
        <f t="shared" si="19"/>
        <v>1</v>
      </c>
      <c r="W50" s="5">
        <f t="shared" si="19"/>
        <v>1</v>
      </c>
      <c r="X50" s="5">
        <f t="shared" si="19"/>
        <v>1</v>
      </c>
      <c r="Y50" s="5">
        <f t="shared" si="19"/>
        <v>1</v>
      </c>
      <c r="Z50" s="5">
        <f t="shared" si="19"/>
        <v>1</v>
      </c>
      <c r="AA50" s="5">
        <f t="shared" si="19"/>
        <v>1</v>
      </c>
      <c r="AB50" s="5">
        <f t="shared" si="19"/>
        <v>1</v>
      </c>
      <c r="AC50" s="5">
        <f t="shared" si="19"/>
        <v>1</v>
      </c>
      <c r="AD50" s="5">
        <f t="shared" si="19"/>
        <v>1</v>
      </c>
      <c r="AE50" s="5">
        <f t="shared" si="19"/>
        <v>1</v>
      </c>
      <c r="AF50" s="5">
        <f t="shared" si="19"/>
        <v>1</v>
      </c>
      <c r="AG50" s="5"/>
    </row>
    <row r="51" spans="1:33" ht="42.75" customHeight="1">
      <c r="A51" s="33" t="s">
        <v>40</v>
      </c>
      <c r="B51" s="33"/>
      <c r="C51" s="5">
        <f t="shared" ref="C51:AF51" si="20">COUNTIF(C5:C14,"N-K")+COUNTIF(C5:C14,"DN-K")</f>
        <v>1</v>
      </c>
      <c r="D51" s="5">
        <f t="shared" si="20"/>
        <v>1</v>
      </c>
      <c r="E51" s="5">
        <f t="shared" si="20"/>
        <v>1</v>
      </c>
      <c r="F51" s="5">
        <f t="shared" si="20"/>
        <v>1</v>
      </c>
      <c r="G51" s="5">
        <f t="shared" si="20"/>
        <v>1</v>
      </c>
      <c r="H51" s="5">
        <f t="shared" si="20"/>
        <v>1</v>
      </c>
      <c r="I51" s="5">
        <f t="shared" si="20"/>
        <v>1</v>
      </c>
      <c r="J51" s="5">
        <f t="shared" si="20"/>
        <v>1</v>
      </c>
      <c r="K51" s="5">
        <f t="shared" si="20"/>
        <v>1</v>
      </c>
      <c r="L51" s="5">
        <f t="shared" si="20"/>
        <v>1</v>
      </c>
      <c r="M51" s="5">
        <f t="shared" si="20"/>
        <v>1</v>
      </c>
      <c r="N51" s="5">
        <f t="shared" si="20"/>
        <v>1</v>
      </c>
      <c r="O51" s="5">
        <f t="shared" si="20"/>
        <v>1</v>
      </c>
      <c r="P51" s="5">
        <f t="shared" si="20"/>
        <v>1</v>
      </c>
      <c r="Q51" s="5">
        <f t="shared" si="20"/>
        <v>1</v>
      </c>
      <c r="R51" s="5">
        <f t="shared" si="20"/>
        <v>1</v>
      </c>
      <c r="S51" s="5">
        <f t="shared" si="20"/>
        <v>1</v>
      </c>
      <c r="T51" s="5">
        <f t="shared" si="20"/>
        <v>1</v>
      </c>
      <c r="U51" s="5">
        <f t="shared" si="20"/>
        <v>1</v>
      </c>
      <c r="V51" s="5">
        <f t="shared" si="20"/>
        <v>1</v>
      </c>
      <c r="W51" s="5">
        <f t="shared" si="20"/>
        <v>1</v>
      </c>
      <c r="X51" s="5">
        <f t="shared" si="20"/>
        <v>1</v>
      </c>
      <c r="Y51" s="5">
        <f t="shared" si="20"/>
        <v>1</v>
      </c>
      <c r="Z51" s="5">
        <f t="shared" si="20"/>
        <v>1</v>
      </c>
      <c r="AA51" s="5">
        <f t="shared" si="20"/>
        <v>1</v>
      </c>
      <c r="AB51" s="5">
        <f t="shared" si="20"/>
        <v>1</v>
      </c>
      <c r="AC51" s="5">
        <f t="shared" si="20"/>
        <v>1</v>
      </c>
      <c r="AD51" s="5">
        <f t="shared" si="20"/>
        <v>1</v>
      </c>
      <c r="AE51" s="5">
        <f t="shared" si="20"/>
        <v>1</v>
      </c>
      <c r="AF51" s="5">
        <f t="shared" si="20"/>
        <v>1</v>
      </c>
      <c r="AG51" s="5"/>
    </row>
    <row r="52" spans="1:33" ht="42.75" customHeight="1">
      <c r="A52" s="33" t="s">
        <v>41</v>
      </c>
      <c r="B52" s="33"/>
      <c r="C52" s="5">
        <f t="shared" ref="C52:AF52" si="21">COUNTIF(C5:C14,"N-R")+COUNTIF(C5:C14,"DN-R")</f>
        <v>1</v>
      </c>
      <c r="D52" s="5">
        <f t="shared" si="21"/>
        <v>1</v>
      </c>
      <c r="E52" s="5">
        <f t="shared" si="21"/>
        <v>1</v>
      </c>
      <c r="F52" s="5">
        <f t="shared" si="21"/>
        <v>1</v>
      </c>
      <c r="G52" s="5">
        <f t="shared" si="21"/>
        <v>1</v>
      </c>
      <c r="H52" s="5">
        <f t="shared" si="21"/>
        <v>1</v>
      </c>
      <c r="I52" s="5">
        <f t="shared" si="21"/>
        <v>1</v>
      </c>
      <c r="J52" s="5">
        <f t="shared" si="21"/>
        <v>1</v>
      </c>
      <c r="K52" s="5">
        <f t="shared" si="21"/>
        <v>1</v>
      </c>
      <c r="L52" s="5">
        <f t="shared" si="21"/>
        <v>1</v>
      </c>
      <c r="M52" s="5">
        <f t="shared" si="21"/>
        <v>1</v>
      </c>
      <c r="N52" s="5">
        <f t="shared" si="21"/>
        <v>1</v>
      </c>
      <c r="O52" s="5">
        <f t="shared" si="21"/>
        <v>1</v>
      </c>
      <c r="P52" s="5">
        <f t="shared" si="21"/>
        <v>1</v>
      </c>
      <c r="Q52" s="5">
        <f t="shared" si="21"/>
        <v>1</v>
      </c>
      <c r="R52" s="5">
        <f t="shared" si="21"/>
        <v>1</v>
      </c>
      <c r="S52" s="5">
        <f t="shared" si="21"/>
        <v>1</v>
      </c>
      <c r="T52" s="5">
        <f t="shared" si="21"/>
        <v>1</v>
      </c>
      <c r="U52" s="5">
        <f t="shared" si="21"/>
        <v>1</v>
      </c>
      <c r="V52" s="5">
        <f t="shared" si="21"/>
        <v>1</v>
      </c>
      <c r="W52" s="5">
        <f t="shared" si="21"/>
        <v>1</v>
      </c>
      <c r="X52" s="5">
        <f t="shared" si="21"/>
        <v>1</v>
      </c>
      <c r="Y52" s="5">
        <f t="shared" si="21"/>
        <v>1</v>
      </c>
      <c r="Z52" s="5">
        <f t="shared" si="21"/>
        <v>1</v>
      </c>
      <c r="AA52" s="5">
        <f t="shared" si="21"/>
        <v>1</v>
      </c>
      <c r="AB52" s="5">
        <f t="shared" si="21"/>
        <v>1</v>
      </c>
      <c r="AC52" s="5">
        <f t="shared" si="21"/>
        <v>1</v>
      </c>
      <c r="AD52" s="5">
        <f t="shared" si="21"/>
        <v>1</v>
      </c>
      <c r="AE52" s="5">
        <f t="shared" si="21"/>
        <v>1</v>
      </c>
      <c r="AF52" s="5">
        <f t="shared" si="21"/>
        <v>1</v>
      </c>
      <c r="AG52" s="5"/>
    </row>
    <row r="53" spans="1:33" ht="42.75" customHeight="1">
      <c r="A53" s="33" t="s">
        <v>42</v>
      </c>
      <c r="B53" s="33"/>
      <c r="C53" s="5" t="str">
        <f>IF(AND(C49&gt;=Ustawienia!$E$8,C50&gt;=Ustawienia!$E$9,C51&gt;=Ustawienia!$E$8,C52&gt;=Ustawienia!$E$9),"OK","BRAK")</f>
        <v>OK</v>
      </c>
      <c r="D53" s="5" t="str">
        <f>IF(AND(D49&gt;=Ustawienia!$E$8,D50&gt;=Ustawienia!$E$9,D51&gt;=Ustawienia!$E$8,D52&gt;=Ustawienia!$E$9),"OK","BRAK")</f>
        <v>OK</v>
      </c>
      <c r="E53" s="5" t="str">
        <f>IF(AND(E49&gt;=Ustawienia!$E$8,E50&gt;=Ustawienia!$E$9,E51&gt;=Ustawienia!$E$8,E52&gt;=Ustawienia!$E$9),"OK","BRAK")</f>
        <v>OK</v>
      </c>
      <c r="F53" s="5" t="str">
        <f>IF(AND(F49&gt;=Ustawienia!$E$8,F50&gt;=Ustawienia!$E$9,F51&gt;=Ustawienia!$E$8,F52&gt;=Ustawienia!$E$9),"OK","BRAK")</f>
        <v>OK</v>
      </c>
      <c r="G53" s="5" t="str">
        <f>IF(AND(G49&gt;=Ustawienia!$E$8,G50&gt;=Ustawienia!$E$9,G51&gt;=Ustawienia!$E$8,G52&gt;=Ustawienia!$E$9),"OK","BRAK")</f>
        <v>OK</v>
      </c>
      <c r="H53" s="5" t="str">
        <f>IF(AND(H49&gt;=Ustawienia!$E$8,H50&gt;=Ustawienia!$E$9,H51&gt;=Ustawienia!$E$8,H52&gt;=Ustawienia!$E$9),"OK","BRAK")</f>
        <v>OK</v>
      </c>
      <c r="I53" s="5" t="str">
        <f>IF(AND(I49&gt;=Ustawienia!$E$8,I50&gt;=Ustawienia!$E$9,I51&gt;=Ustawienia!$E$8,I52&gt;=Ustawienia!$E$9),"OK","BRAK")</f>
        <v>OK</v>
      </c>
      <c r="J53" s="5" t="str">
        <f>IF(AND(J49&gt;=Ustawienia!$E$8,J50&gt;=Ustawienia!$E$9,J51&gt;=Ustawienia!$E$8,J52&gt;=Ustawienia!$E$9),"OK","BRAK")</f>
        <v>OK</v>
      </c>
      <c r="K53" s="5" t="str">
        <f>IF(AND(K49&gt;=Ustawienia!$E$8,K50&gt;=Ustawienia!$E$9,K51&gt;=Ustawienia!$E$8,K52&gt;=Ustawienia!$E$9),"OK","BRAK")</f>
        <v>OK</v>
      </c>
      <c r="L53" s="5" t="str">
        <f>IF(AND(L49&gt;=Ustawienia!$E$8,L50&gt;=Ustawienia!$E$9,L51&gt;=Ustawienia!$E$8,L52&gt;=Ustawienia!$E$9),"OK","BRAK")</f>
        <v>OK</v>
      </c>
      <c r="M53" s="5" t="str">
        <f>IF(AND(M49&gt;=Ustawienia!$E$8,M50&gt;=Ustawienia!$E$9,M51&gt;=Ustawienia!$E$8,M52&gt;=Ustawienia!$E$9),"OK","BRAK")</f>
        <v>OK</v>
      </c>
      <c r="N53" s="5" t="str">
        <f>IF(AND(N49&gt;=Ustawienia!$E$8,N50&gt;=Ustawienia!$E$9,N51&gt;=Ustawienia!$E$8,N52&gt;=Ustawienia!$E$9),"OK","BRAK")</f>
        <v>OK</v>
      </c>
      <c r="O53" s="5" t="str">
        <f>IF(AND(O49&gt;=Ustawienia!$E$8,O50&gt;=Ustawienia!$E$9,O51&gt;=Ustawienia!$E$8,O52&gt;=Ustawienia!$E$9),"OK","BRAK")</f>
        <v>OK</v>
      </c>
      <c r="P53" s="5" t="str">
        <f>IF(AND(P49&gt;=Ustawienia!$E$8,P50&gt;=Ustawienia!$E$9,P51&gt;=Ustawienia!$E$8,P52&gt;=Ustawienia!$E$9),"OK","BRAK")</f>
        <v>OK</v>
      </c>
      <c r="Q53" s="5" t="str">
        <f>IF(AND(Q49&gt;=Ustawienia!$E$8,Q50&gt;=Ustawienia!$E$9,Q51&gt;=Ustawienia!$E$8,Q52&gt;=Ustawienia!$E$9),"OK","BRAK")</f>
        <v>OK</v>
      </c>
      <c r="R53" s="5" t="str">
        <f>IF(AND(R49&gt;=Ustawienia!$E$8,R50&gt;=Ustawienia!$E$9,R51&gt;=Ustawienia!$E$8,R52&gt;=Ustawienia!$E$9),"OK","BRAK")</f>
        <v>OK</v>
      </c>
      <c r="S53" s="5" t="str">
        <f>IF(AND(S49&gt;=Ustawienia!$E$8,S50&gt;=Ustawienia!$E$9,S51&gt;=Ustawienia!$E$8,S52&gt;=Ustawienia!$E$9),"OK","BRAK")</f>
        <v>OK</v>
      </c>
      <c r="T53" s="5" t="str">
        <f>IF(AND(T49&gt;=Ustawienia!$E$8,T50&gt;=Ustawienia!$E$9,T51&gt;=Ustawienia!$E$8,T52&gt;=Ustawienia!$E$9),"OK","BRAK")</f>
        <v>OK</v>
      </c>
      <c r="U53" s="5" t="str">
        <f>IF(AND(U49&gt;=Ustawienia!$E$8,U50&gt;=Ustawienia!$E$9,U51&gt;=Ustawienia!$E$8,U52&gt;=Ustawienia!$E$9),"OK","BRAK")</f>
        <v>OK</v>
      </c>
      <c r="V53" s="5" t="str">
        <f>IF(AND(V49&gt;=Ustawienia!$E$8,V50&gt;=Ustawienia!$E$9,V51&gt;=Ustawienia!$E$8,V52&gt;=Ustawienia!$E$9),"OK","BRAK")</f>
        <v>OK</v>
      </c>
      <c r="W53" s="5" t="str">
        <f>IF(AND(W49&gt;=Ustawienia!$E$8,W50&gt;=Ustawienia!$E$9,W51&gt;=Ustawienia!$E$8,W52&gt;=Ustawienia!$E$9),"OK","BRAK")</f>
        <v>OK</v>
      </c>
      <c r="X53" s="5" t="str">
        <f>IF(AND(X49&gt;=Ustawienia!$E$8,X50&gt;=Ustawienia!$E$9,X51&gt;=Ustawienia!$E$8,X52&gt;=Ustawienia!$E$9),"OK","BRAK")</f>
        <v>OK</v>
      </c>
      <c r="Y53" s="5" t="str">
        <f>IF(AND(Y49&gt;=Ustawienia!$E$8,Y50&gt;=Ustawienia!$E$9,Y51&gt;=Ustawienia!$E$8,Y52&gt;=Ustawienia!$E$9),"OK","BRAK")</f>
        <v>OK</v>
      </c>
      <c r="Z53" s="5" t="str">
        <f>IF(AND(Z49&gt;=Ustawienia!$E$8,Z50&gt;=Ustawienia!$E$9,Z51&gt;=Ustawienia!$E$8,Z52&gt;=Ustawienia!$E$9),"OK","BRAK")</f>
        <v>OK</v>
      </c>
      <c r="AA53" s="5" t="str">
        <f>IF(AND(AA49&gt;=Ustawienia!$E$8,AA50&gt;=Ustawienia!$E$9,AA51&gt;=Ustawienia!$E$8,AA52&gt;=Ustawienia!$E$9),"OK","BRAK")</f>
        <v>OK</v>
      </c>
      <c r="AB53" s="5" t="str">
        <f>IF(AND(AB49&gt;=Ustawienia!$E$8,AB50&gt;=Ustawienia!$E$9,AB51&gt;=Ustawienia!$E$8,AB52&gt;=Ustawienia!$E$9),"OK","BRAK")</f>
        <v>OK</v>
      </c>
      <c r="AC53" s="5" t="str">
        <f>IF(AND(AC49&gt;=Ustawienia!$E$8,AC50&gt;=Ustawienia!$E$9,AC51&gt;=Ustawienia!$E$8,AC52&gt;=Ustawienia!$E$9),"OK","BRAK")</f>
        <v>OK</v>
      </c>
      <c r="AD53" s="5" t="str">
        <f>IF(AND(AD49&gt;=Ustawienia!$E$8,AD50&gt;=Ustawienia!$E$9,AD51&gt;=Ustawienia!$E$8,AD52&gt;=Ustawienia!$E$9),"OK","BRAK")</f>
        <v>OK</v>
      </c>
      <c r="AE53" s="5" t="str">
        <f>IF(AND(AE49&gt;=Ustawienia!$E$8,AE50&gt;=Ustawienia!$E$9,AE51&gt;=Ustawienia!$E$8,AE52&gt;=Ustawienia!$E$9),"OK","BRAK")</f>
        <v>OK</v>
      </c>
      <c r="AF53" s="5" t="str">
        <f>IF(AND(AF49&gt;=Ustawienia!$E$8,AF50&gt;=Ustawienia!$E$9,AF51&gt;=Ustawienia!$E$8,AF52&gt;=Ustawienia!$E$9),"OK","BRAK")</f>
        <v>OK</v>
      </c>
      <c r="AG53" s="5"/>
    </row>
    <row r="55" spans="1:3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</row>
    <row r="56" spans="1:3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</row>
  </sheetData>
  <mergeCells count="28">
    <mergeCell ref="AK3:AK4"/>
    <mergeCell ref="AL3:AL4"/>
    <mergeCell ref="A52:B52"/>
    <mergeCell ref="A53:B53"/>
    <mergeCell ref="A55:AG56"/>
    <mergeCell ref="AH3:AH4"/>
    <mergeCell ref="AI3:AI4"/>
    <mergeCell ref="A44:B44"/>
    <mergeCell ref="A46:AG47"/>
    <mergeCell ref="A49:B49"/>
    <mergeCell ref="A50:B50"/>
    <mergeCell ref="A51:B51"/>
    <mergeCell ref="A27:A28"/>
    <mergeCell ref="B27:B28"/>
    <mergeCell ref="A23:AG23"/>
    <mergeCell ref="A40:AG40"/>
    <mergeCell ref="A43:B43"/>
    <mergeCell ref="A18:B18"/>
    <mergeCell ref="A19:B19"/>
    <mergeCell ref="A20:B20"/>
    <mergeCell ref="A22:AJ22"/>
    <mergeCell ref="A25:AG25"/>
    <mergeCell ref="A1:AJ1"/>
    <mergeCell ref="A3:A4"/>
    <mergeCell ref="B3:B4"/>
    <mergeCell ref="A16:B16"/>
    <mergeCell ref="A17:B17"/>
    <mergeCell ref="AJ3:AJ4"/>
  </mergeCells>
  <conditionalFormatting sqref="C5:AF14">
    <cfRule type="expression" dxfId="59" priority="317">
      <formula>C5="XX"</formula>
    </cfRule>
    <cfRule type="expression" dxfId="58" priority="316">
      <formula>OR(C5="D-R",C5="N-R",C5="DN-R")</formula>
    </cfRule>
    <cfRule type="expression" dxfId="57" priority="315">
      <formula>OR(C5="D-K",C5="N-K",C5="DN-K")</formula>
    </cfRule>
  </conditionalFormatting>
  <conditionalFormatting sqref="C29:AF38">
    <cfRule type="expression" dxfId="56" priority="318">
      <formula>OR(C29="D-K",C29="N-K",C29="DN-K")</formula>
    </cfRule>
    <cfRule type="expression" dxfId="55" priority="319">
      <formula>OR(C29="D-R",C29="N-R",C29="DN-R")</formula>
    </cfRule>
    <cfRule type="expression" dxfId="54" priority="320">
      <formula>C29="XX"</formula>
    </cfRule>
  </conditionalFormatting>
  <conditionalFormatting sqref="C5:AG14">
    <cfRule type="expression" dxfId="53" priority="4">
      <formula>AND(C5="",C$20&lt;&gt;"")</formula>
    </cfRule>
    <cfRule type="expression" dxfId="52" priority="9">
      <formula>C5="D"</formula>
    </cfRule>
    <cfRule type="expression" dxfId="51" priority="10">
      <formula>C5="N"</formula>
    </cfRule>
    <cfRule type="expression" dxfId="50" priority="11">
      <formula>C5="DN"</formula>
    </cfRule>
    <cfRule type="expression" dxfId="49" priority="12">
      <formula>C5="XX"</formula>
    </cfRule>
    <cfRule type="expression" dxfId="48" priority="121">
      <formula>C5="DN-R"</formula>
    </cfRule>
    <cfRule type="expression" dxfId="47" priority="120">
      <formula>C5="DN-K"</formula>
    </cfRule>
    <cfRule type="expression" dxfId="46" priority="119">
      <formula>C5="N-R"</formula>
    </cfRule>
    <cfRule type="expression" dxfId="45" priority="118">
      <formula>C5="N-K"</formula>
    </cfRule>
    <cfRule type="expression" dxfId="44" priority="46">
      <formula>C$43&gt;48</formula>
    </cfRule>
    <cfRule type="expression" dxfId="43" priority="117">
      <formula>C5="D-R"</formula>
    </cfRule>
    <cfRule type="expression" dxfId="42" priority="116">
      <formula>C5="D-K"</formula>
    </cfRule>
  </conditionalFormatting>
  <conditionalFormatting sqref="C20:AG20">
    <cfRule type="expression" dxfId="41" priority="3">
      <formula>C20&lt;&gt;""</formula>
    </cfRule>
  </conditionalFormatting>
  <conditionalFormatting sqref="C29:AG38">
    <cfRule type="expression" dxfId="40" priority="5">
      <formula>C29="D"</formula>
    </cfRule>
    <cfRule type="expression" dxfId="39" priority="110">
      <formula>C29="D-K"</formula>
    </cfRule>
    <cfRule type="expression" dxfId="38" priority="112">
      <formula>C29="N-K"</formula>
    </cfRule>
    <cfRule type="expression" dxfId="37" priority="113">
      <formula>C29="N-R"</formula>
    </cfRule>
    <cfRule type="expression" dxfId="36" priority="114">
      <formula>C29="DN-K"</formula>
    </cfRule>
    <cfRule type="expression" dxfId="35" priority="115">
      <formula>C29="DN-R"</formula>
    </cfRule>
    <cfRule type="expression" dxfId="34" priority="47">
      <formula>C$43&gt;48</formula>
    </cfRule>
    <cfRule type="expression" dxfId="33" priority="8">
      <formula>C29="XX"</formula>
    </cfRule>
    <cfRule type="expression" dxfId="32" priority="7">
      <formula>C29="DN"</formula>
    </cfRule>
    <cfRule type="expression" dxfId="31" priority="6">
      <formula>C29="N"</formula>
    </cfRule>
    <cfRule type="expression" dxfId="30" priority="111">
      <formula>C29="D-R"</formula>
    </cfRule>
  </conditionalFormatting>
  <conditionalFormatting sqref="C44:AG44">
    <cfRule type="expression" dxfId="29" priority="45">
      <formula>C44="OK"</formula>
    </cfRule>
    <cfRule type="expression" dxfId="28" priority="44">
      <formula>C44="MAX"</formula>
    </cfRule>
    <cfRule type="expression" dxfId="27" priority="43">
      <formula>C44="PRZEKROCZONE"</formula>
    </cfRule>
  </conditionalFormatting>
  <conditionalFormatting sqref="C49:AG53">
    <cfRule type="expression" dxfId="26" priority="109">
      <formula>C53="OK"</formula>
    </cfRule>
    <cfRule type="expression" dxfId="25" priority="108">
      <formula>C53="BRAK"</formula>
    </cfRule>
  </conditionalFormatting>
  <conditionalFormatting sqref="D5:AF14">
    <cfRule type="expression" dxfId="24" priority="321">
      <formula>OR(AND(OR(C5="DN-K",C5="DN-R"),OR(D5="D-K",D5="D-R",D5="DN-K",D5="DN-R")),AND(OR(C5="N-K",C5="N-R"),OR(D5="DN-K",D5="DN-R")))</formula>
    </cfRule>
    <cfRule type="expression" dxfId="23" priority="131">
      <formula>OR(AND(OR(C5="N-K",C5="N-R"),OR(D5="D-K",D5="D-R")),AND(OR(C5="DN-K",C5="DN-R"),D5&lt;&gt;"",D5&lt;&gt;"XX"))</formula>
    </cfRule>
    <cfRule type="expression" dxfId="22" priority="255">
      <formula>OR(AND(OR(C5="DN-K",C5="DN-R"),OR(D5="D-K",D5="D-R",D5="N-K",D5="N-R",D5="DN-K",D5="DN-R")),AND(OR(C5="N-K",C5="N-R"),OR(D5="DN-K",D5="DN-R")))</formula>
    </cfRule>
  </conditionalFormatting>
  <conditionalFormatting sqref="D29:AF38">
    <cfRule type="expression" dxfId="21" priority="132">
      <formula>OR(AND(OR(C29="N-K",C29="N-R"),OR(D29="D-K",D29="D-R")),AND(OR(C29="DN-K",C29="DN-R"),D29&lt;&gt;"",D29&lt;&gt;"XX"))</formula>
    </cfRule>
    <cfRule type="expression" dxfId="20" priority="256">
      <formula>OR(AND(OR(C29="DN-K",C29="DN-R"),OR(D29="D-K",D29="D-R",D29="N-K",D29="N-R",D29="DN-K",D29="DN-R")),AND(OR(C29="N-K",C29="N-R"),OR(D29="DN-K",D29="DN-R")))</formula>
    </cfRule>
    <cfRule type="expression" dxfId="19" priority="322">
      <formula>OR(AND(OR(C29="DN-K",C29="DN-R"),OR(D29="D-K",D29="D-R",D29="DN-K",D29="DN-R")),AND(OR(C29="N-K",C29="N-R"),OR(D29="DN-K",D29="DN-R")))</formula>
    </cfRule>
  </conditionalFormatting>
  <conditionalFormatting sqref="D29:AG38">
    <cfRule type="expression" dxfId="18" priority="13">
      <formula>OR(AND(C29="N",D29="D"),AND(C29="DN",D29&lt;&gt;""))</formula>
    </cfRule>
  </conditionalFormatting>
  <conditionalFormatting sqref="AJ5:AJ14">
    <cfRule type="expression" dxfId="17" priority="1">
      <formula>AJ5&lt;0</formula>
    </cfRule>
    <cfRule type="expression" dxfId="16" priority="2">
      <formula>AJ5&gt;0</formula>
    </cfRule>
  </conditionalFormatting>
  <conditionalFormatting sqref="AK5:AK14">
    <cfRule type="expression" dxfId="15" priority="124">
      <formula>AK5="POWYŻEJ MAX"</formula>
    </cfRule>
    <cfRule type="expression" dxfId="14" priority="123">
      <formula>AK5="W NORMIE"</formula>
    </cfRule>
    <cfRule type="expression" dxfId="13" priority="122">
      <formula>AK5="PONIŻEJ MIN"</formula>
    </cfRule>
  </conditionalFormatting>
  <conditionalFormatting sqref="AL5:AL14">
    <cfRule type="expression" dxfId="12" priority="379">
      <formula>AL5="KONFLIKT 36H"</formula>
    </cfRule>
  </conditionalFormatting>
  <dataValidations count="2">
    <dataValidation type="list" sqref="C5:AG14" xr:uid="{00000000-0002-0000-0000-000000000000}">
      <formula1>"D,N,DN,XX"</formula1>
    </dataValidation>
    <dataValidation type="list" sqref="C29:AG38" xr:uid="{00000000-0002-0000-0000-000001000000}">
      <formula1>"D-K,D-R,N-K,N-R,DN-K,DN-R,XX"</formula1>
    </dataValidation>
  </dataValidations>
  <printOptions horizontalCentered="1" verticalCentered="1"/>
  <pageMargins left="0.15" right="0.15" top="0.2" bottom="0.2" header="0" footer="0"/>
  <pageSetup paperSize="9" scale="28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E12"/>
  <sheetViews>
    <sheetView workbookViewId="0"/>
  </sheetViews>
  <sheetFormatPr baseColWidth="10" defaultColWidth="8.83203125" defaultRowHeight="15"/>
  <cols>
    <col min="1" max="1" width="14" customWidth="1"/>
    <col min="2" max="2" width="50" customWidth="1"/>
    <col min="4" max="4" width="26" customWidth="1"/>
    <col min="5" max="5" width="16" customWidth="1"/>
  </cols>
  <sheetData>
    <row r="1" spans="1:5" ht="18">
      <c r="A1" s="39" t="s">
        <v>43</v>
      </c>
      <c r="B1" s="39"/>
      <c r="C1" s="39"/>
      <c r="D1" s="39"/>
      <c r="E1" s="39"/>
    </row>
    <row r="3" spans="1:5">
      <c r="A3" s="1" t="s">
        <v>44</v>
      </c>
      <c r="B3" s="1" t="s">
        <v>45</v>
      </c>
      <c r="D3" s="1" t="s">
        <v>46</v>
      </c>
      <c r="E3" s="1" t="s">
        <v>47</v>
      </c>
    </row>
    <row r="4" spans="1:5">
      <c r="A4" t="s">
        <v>48</v>
      </c>
      <c r="B4" s="2">
        <v>12</v>
      </c>
      <c r="D4" t="s">
        <v>48</v>
      </c>
      <c r="E4" s="2">
        <v>2</v>
      </c>
    </row>
    <row r="5" spans="1:5">
      <c r="A5" t="s">
        <v>49</v>
      </c>
      <c r="B5" s="2">
        <v>12</v>
      </c>
      <c r="D5" t="s">
        <v>49</v>
      </c>
      <c r="E5" s="2">
        <v>2</v>
      </c>
    </row>
    <row r="6" spans="1:5">
      <c r="A6" t="s">
        <v>50</v>
      </c>
      <c r="B6" s="2">
        <v>24</v>
      </c>
    </row>
    <row r="7" spans="1:5">
      <c r="A7" t="s">
        <v>51</v>
      </c>
      <c r="B7" s="2">
        <v>0</v>
      </c>
      <c r="D7" s="6" t="s">
        <v>52</v>
      </c>
      <c r="E7" s="6" t="s">
        <v>53</v>
      </c>
    </row>
    <row r="8" spans="1:5">
      <c r="D8" t="s">
        <v>54</v>
      </c>
      <c r="E8" s="7">
        <v>1</v>
      </c>
    </row>
    <row r="9" spans="1:5">
      <c r="A9" s="40" t="s">
        <v>55</v>
      </c>
      <c r="B9" s="40"/>
      <c r="C9" s="40"/>
      <c r="D9" s="40" t="s">
        <v>56</v>
      </c>
      <c r="E9" s="41">
        <v>1</v>
      </c>
    </row>
    <row r="10" spans="1:5" ht="16">
      <c r="A10" t="s">
        <v>57</v>
      </c>
      <c r="B10" s="3" t="s">
        <v>58</v>
      </c>
    </row>
    <row r="11" spans="1:5" ht="32">
      <c r="A11" t="s">
        <v>59</v>
      </c>
      <c r="B11" s="3" t="s">
        <v>60</v>
      </c>
    </row>
    <row r="12" spans="1:5" ht="32">
      <c r="A12" t="s">
        <v>61</v>
      </c>
      <c r="B12" s="3" t="s">
        <v>62</v>
      </c>
    </row>
  </sheetData>
  <mergeCells count="2">
    <mergeCell ref="A1:E1"/>
    <mergeCell ref="A9:E9"/>
  </mergeCells>
  <printOptions horizontalCentered="1" verticalCentered="1"/>
  <pageMargins left="0.15" right="0.15" top="0.2" bottom="0.2" header="0" footer="0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AK15"/>
  <sheetViews>
    <sheetView tabSelected="1" zoomScale="75" zoomScaleNormal="100" workbookViewId="0">
      <selection activeCell="O22" sqref="O22"/>
    </sheetView>
  </sheetViews>
  <sheetFormatPr baseColWidth="10" defaultColWidth="8.83203125" defaultRowHeight="15"/>
  <cols>
    <col min="1" max="1" width="6" customWidth="1"/>
    <col min="2" max="2" width="25" customWidth="1"/>
    <col min="3" max="32" width="7.1640625" customWidth="1"/>
    <col min="33" max="33" width="14.1640625" customWidth="1"/>
    <col min="34" max="35" width="13" customWidth="1"/>
    <col min="36" max="36" width="16" customWidth="1"/>
    <col min="37" max="37" width="14" customWidth="1"/>
  </cols>
  <sheetData>
    <row r="1" spans="1:37" ht="53.25" customHeight="1">
      <c r="A1" s="43" t="s">
        <v>64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0"/>
      <c r="AH1" s="40"/>
      <c r="AI1" s="40"/>
      <c r="AJ1" s="40"/>
    </row>
    <row r="3" spans="1:37" ht="44.25" customHeight="1">
      <c r="A3" s="10" t="s">
        <v>0</v>
      </c>
      <c r="B3" s="10" t="s">
        <v>1</v>
      </c>
      <c r="C3" s="10">
        <v>1</v>
      </c>
      <c r="D3" s="10">
        <v>2</v>
      </c>
      <c r="E3" s="10">
        <v>3</v>
      </c>
      <c r="F3" s="10">
        <v>4</v>
      </c>
      <c r="G3" s="11">
        <v>5</v>
      </c>
      <c r="H3" s="11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1">
        <v>12</v>
      </c>
      <c r="O3" s="11">
        <v>13</v>
      </c>
      <c r="P3" s="10">
        <v>14</v>
      </c>
      <c r="Q3" s="10">
        <v>15</v>
      </c>
      <c r="R3" s="10">
        <v>16</v>
      </c>
      <c r="S3" s="10">
        <v>17</v>
      </c>
      <c r="T3" s="10">
        <v>18</v>
      </c>
      <c r="U3" s="11">
        <v>19</v>
      </c>
      <c r="V3" s="11">
        <v>20</v>
      </c>
      <c r="W3" s="10">
        <v>21</v>
      </c>
      <c r="X3" s="10">
        <v>22</v>
      </c>
      <c r="Y3" s="10">
        <v>23</v>
      </c>
      <c r="Z3" s="10">
        <v>24</v>
      </c>
      <c r="AA3" s="10">
        <v>25</v>
      </c>
      <c r="AB3" s="11">
        <v>26</v>
      </c>
      <c r="AC3" s="11">
        <v>27</v>
      </c>
      <c r="AD3" s="10">
        <v>28</v>
      </c>
      <c r="AE3" s="10">
        <v>29</v>
      </c>
      <c r="AF3" s="10">
        <v>30</v>
      </c>
      <c r="AG3" s="44" t="s">
        <v>65</v>
      </c>
      <c r="AH3" s="44" t="s">
        <v>3</v>
      </c>
      <c r="AI3" s="44" t="s">
        <v>4</v>
      </c>
      <c r="AJ3" s="44" t="s">
        <v>63</v>
      </c>
      <c r="AK3" s="42" t="s">
        <v>6</v>
      </c>
    </row>
    <row r="4" spans="1:37" ht="44.25" customHeight="1">
      <c r="A4" s="10"/>
      <c r="B4" s="10"/>
      <c r="C4" s="10" t="s">
        <v>7</v>
      </c>
      <c r="D4" s="10" t="s">
        <v>8</v>
      </c>
      <c r="E4" s="10" t="s">
        <v>9</v>
      </c>
      <c r="F4" s="10" t="s">
        <v>10</v>
      </c>
      <c r="G4" s="11" t="s">
        <v>11</v>
      </c>
      <c r="H4" s="11" t="s">
        <v>12</v>
      </c>
      <c r="I4" s="10" t="s">
        <v>13</v>
      </c>
      <c r="J4" s="10" t="s">
        <v>7</v>
      </c>
      <c r="K4" s="10" t="s">
        <v>8</v>
      </c>
      <c r="L4" s="10" t="s">
        <v>9</v>
      </c>
      <c r="M4" s="10" t="s">
        <v>10</v>
      </c>
      <c r="N4" s="11" t="s">
        <v>11</v>
      </c>
      <c r="O4" s="11" t="s">
        <v>12</v>
      </c>
      <c r="P4" s="10" t="s">
        <v>13</v>
      </c>
      <c r="Q4" s="10" t="s">
        <v>7</v>
      </c>
      <c r="R4" s="10" t="s">
        <v>8</v>
      </c>
      <c r="S4" s="10" t="s">
        <v>9</v>
      </c>
      <c r="T4" s="10" t="s">
        <v>10</v>
      </c>
      <c r="U4" s="11" t="s">
        <v>11</v>
      </c>
      <c r="V4" s="11" t="s">
        <v>12</v>
      </c>
      <c r="W4" s="10" t="s">
        <v>13</v>
      </c>
      <c r="X4" s="10" t="s">
        <v>7</v>
      </c>
      <c r="Y4" s="10" t="s">
        <v>8</v>
      </c>
      <c r="Z4" s="10" t="s">
        <v>9</v>
      </c>
      <c r="AA4" s="10" t="s">
        <v>10</v>
      </c>
      <c r="AB4" s="11" t="s">
        <v>11</v>
      </c>
      <c r="AC4" s="11" t="s">
        <v>12</v>
      </c>
      <c r="AD4" s="10" t="s">
        <v>13</v>
      </c>
      <c r="AE4" s="10" t="s">
        <v>7</v>
      </c>
      <c r="AF4" s="10" t="s">
        <v>8</v>
      </c>
      <c r="AG4" s="44"/>
      <c r="AH4" s="44"/>
      <c r="AI4" s="44"/>
      <c r="AJ4" s="44"/>
      <c r="AK4" s="42"/>
    </row>
    <row r="5" spans="1:37" ht="44.25" customHeight="1">
      <c r="A5" s="17">
        <v>1</v>
      </c>
      <c r="B5" s="18" t="s">
        <v>14</v>
      </c>
      <c r="C5" s="14" t="str">
        <f>Grafik!C5</f>
        <v/>
      </c>
      <c r="D5" s="14" t="str">
        <f>Grafik!D5</f>
        <v/>
      </c>
      <c r="E5" s="14" t="str">
        <f>Grafik!E5</f>
        <v>DN-K</v>
      </c>
      <c r="F5" s="14" t="str">
        <f>Grafik!F5</f>
        <v/>
      </c>
      <c r="G5" s="15" t="str">
        <f>Grafik!G5</f>
        <v/>
      </c>
      <c r="H5" s="15" t="str">
        <f>Grafik!H5</f>
        <v/>
      </c>
      <c r="I5" s="14" t="str">
        <f>Grafik!I5</f>
        <v/>
      </c>
      <c r="J5" s="14" t="str">
        <f>Grafik!J5</f>
        <v/>
      </c>
      <c r="K5" s="14" t="str">
        <f>Grafik!K5</f>
        <v/>
      </c>
      <c r="L5" s="14" t="str">
        <f>Grafik!L5</f>
        <v>DN-K</v>
      </c>
      <c r="M5" s="14" t="str">
        <f>Grafik!M5</f>
        <v/>
      </c>
      <c r="N5" s="15" t="str">
        <f>Grafik!N5</f>
        <v>DN-K</v>
      </c>
      <c r="O5" s="15" t="str">
        <f>Grafik!O5</f>
        <v/>
      </c>
      <c r="P5" s="14" t="str">
        <f>Grafik!P5</f>
        <v>N-K</v>
      </c>
      <c r="Q5" s="14" t="str">
        <f>Grafik!Q5</f>
        <v/>
      </c>
      <c r="R5" s="14" t="str">
        <f>Grafik!R5</f>
        <v/>
      </c>
      <c r="S5" s="14" t="str">
        <f>Grafik!S5</f>
        <v>DN-K</v>
      </c>
      <c r="T5" s="14" t="str">
        <f>Grafik!T5</f>
        <v/>
      </c>
      <c r="U5" s="15" t="str">
        <f>Grafik!U5</f>
        <v/>
      </c>
      <c r="V5" s="15" t="str">
        <f>Grafik!V5</f>
        <v/>
      </c>
      <c r="W5" s="14" t="str">
        <f>Grafik!W5</f>
        <v/>
      </c>
      <c r="X5" s="14" t="str">
        <f>Grafik!X5</f>
        <v/>
      </c>
      <c r="Y5" s="14" t="str">
        <f>Grafik!Y5</f>
        <v/>
      </c>
      <c r="Z5" s="14" t="str">
        <f>Grafik!Z5</f>
        <v>DN-K</v>
      </c>
      <c r="AA5" s="14" t="str">
        <f>Grafik!AA5</f>
        <v/>
      </c>
      <c r="AB5" s="15" t="str">
        <f>Grafik!AB5</f>
        <v>DN-K</v>
      </c>
      <c r="AC5" s="15" t="str">
        <f>Grafik!AC5</f>
        <v/>
      </c>
      <c r="AD5" s="14" t="str">
        <f>Grafik!AD5</f>
        <v>DN-K</v>
      </c>
      <c r="AE5" s="14" t="str">
        <f>Grafik!AE5</f>
        <v/>
      </c>
      <c r="AF5" s="14" t="str">
        <f>Grafik!AF5</f>
        <v/>
      </c>
      <c r="AG5" s="16">
        <f>Grafik!AH5</f>
        <v>180</v>
      </c>
      <c r="AH5" s="16">
        <v>180</v>
      </c>
      <c r="AI5" s="16">
        <v>240</v>
      </c>
      <c r="AJ5" s="16" t="str">
        <f t="shared" ref="AJ5:AJ14" si="0">IF(AG5&lt;AH5,"PONIŻEJ MIN",IF(AG5&gt;AI5,"POWYŻEJ MAX","W NORMIE"))</f>
        <v>W NORMIE</v>
      </c>
      <c r="AK5" s="16" t="str">
        <f t="shared" ref="AK5:AK14" si="1">IF((IF(OR(AND(OR(C5="DN-K",C5="DN-R"),OR(D5="D-K",D5="D-R",D5="DN-K",D5="DN-R")),AND(OR(C5="N-K",C5="N-R"),OR(D5="DN-K",D5="DN-R"))),1,0) + IF(OR(AND(OR(D5="DN-K",D5="DN-R"),OR(E5="D-K",E5="D-R",E5="DN-K",E5="DN-R")),AND(OR(D5="N-K",D5="N-R"),OR(E5="DN-K",E5="DN-R"))),1,0) + IF(OR(AND(OR(E5="DN-K",E5="DN-R"),OR(F5="D-K",F5="D-R",F5="DN-K",F5="DN-R")),AND(OR(E5="N-K",E5="N-R"),OR(F5="DN-K",F5="DN-R"))),1,0) + IF(OR(AND(OR(F5="DN-K",F5="DN-R"),OR(G5="D-K",G5="D-R",G5="DN-K",G5="DN-R")),AND(OR(F5="N-K",F5="N-R"),OR(G5="DN-K",G5="DN-R"))),1,0) + IF(OR(AND(OR(G5="DN-K",G5="DN-R"),OR(H5="D-K",H5="D-R",H5="DN-K",H5="DN-R")),AND(OR(G5="N-K",G5="N-R"),OR(H5="DN-K",H5="DN-R"))),1,0) + IF(OR(AND(OR(H5="DN-K",H5="DN-R"),OR(I5="D-K",I5="D-R",I5="DN-K",I5="DN-R")),AND(OR(H5="N-K",H5="N-R"),OR(I5="DN-K",I5="DN-R"))),1,0) + IF(OR(AND(OR(I5="DN-K",I5="DN-R"),OR(J5="D-K",J5="D-R",J5="DN-K",J5="DN-R")),AND(OR(I5="N-K",I5="N-R"),OR(J5="DN-K",J5="DN-R"))),1,0) + IF(OR(AND(OR(J5="DN-K",J5="DN-R"),OR(K5="D-K",K5="D-R",K5="DN-K",K5="DN-R")),AND(OR(J5="N-K",J5="N-R"),OR(K5="DN-K",K5="DN-R"))),1,0) + IF(OR(AND(OR(K5="DN-K",K5="DN-R"),OR(L5="D-K",L5="D-R",L5="DN-K",L5="DN-R")),AND(OR(K5="N-K",K5="N-R"),OR(L5="DN-K",L5="DN-R"))),1,0) + IF(OR(AND(OR(L5="DN-K",L5="DN-R"),OR(M5="D-K",M5="D-R",M5="DN-K",M5="DN-R")),AND(OR(L5="N-K",L5="N-R"),OR(M5="DN-K",M5="DN-R"))),1,0) + IF(OR(AND(OR(M5="DN-K",M5="DN-R"),OR(N5="D-K",N5="D-R",N5="DN-K",N5="DN-R")),AND(OR(M5="N-K",M5="N-R"),OR(N5="DN-K",N5="DN-R"))),1,0) + IF(OR(AND(OR(N5="DN-K",N5="DN-R"),OR(O5="D-K",O5="D-R",O5="DN-K",O5="DN-R")),AND(OR(N5="N-K",N5="N-R"),OR(O5="DN-K",O5="DN-R"))),1,0) + IF(OR(AND(OR(O5="DN-K",O5="DN-R"),OR(P5="D-K",P5="D-R",P5="DN-K",P5="DN-R")),AND(OR(O5="N-K",O5="N-R"),OR(P5="DN-K",P5="DN-R"))),1,0) + IF(OR(AND(OR(P5="DN-K",P5="DN-R"),OR(Q5="D-K",Q5="D-R",Q5="DN-K",Q5="DN-R")),AND(OR(P5="N-K",P5="N-R"),OR(Q5="DN-K",Q5="DN-R"))),1,0) + IF(OR(AND(OR(Q5="DN-K",Q5="DN-R"),OR(R5="D-K",R5="D-R",R5="DN-K",R5="DN-R")),AND(OR(Q5="N-K",Q5="N-R"),OR(R5="DN-K",R5="DN-R"))),1,0) + IF(OR(AND(OR(R5="DN-K",R5="DN-R"),OR(S5="D-K",S5="D-R",S5="DN-K",S5="DN-R")),AND(OR(R5="N-K",R5="N-R"),OR(S5="DN-K",S5="DN-R"))),1,0) + IF(OR(AND(OR(S5="DN-K",S5="DN-R"),OR(T5="D-K",T5="D-R",T5="DN-K",T5="DN-R")),AND(OR(S5="N-K",S5="N-R"),OR(T5="DN-K",T5="DN-R"))),1,0) + IF(OR(AND(OR(T5="DN-K",T5="DN-R"),OR(U5="D-K",U5="D-R",U5="DN-K",U5="DN-R")),AND(OR(T5="N-K",T5="N-R"),OR(U5="DN-K",U5="DN-R"))),1,0) + IF(OR(AND(OR(U5="DN-K",U5="DN-R"),OR(V5="D-K",V5="D-R",V5="DN-K",V5="DN-R")),AND(OR(U5="N-K",U5="N-R"),OR(V5="DN-K",V5="DN-R"))),1,0) + IF(OR(AND(OR(V5="DN-K",V5="DN-R"),OR(W5="D-K",W5="D-R",W5="DN-K",W5="DN-R")),AND(OR(V5="N-K",V5="N-R"),OR(W5="DN-K",W5="DN-R"))),1,0) + IF(OR(AND(OR(W5="DN-K",W5="DN-R"),OR(X5="D-K",X5="D-R",X5="DN-K",X5="DN-R")),AND(OR(W5="N-K",W5="N-R"),OR(X5="DN-K",X5="DN-R"))),1,0) + IF(OR(AND(OR(X5="DN-K",X5="DN-R"),OR(Y5="D-K",Y5="D-R",Y5="DN-K",Y5="DN-R")),AND(OR(X5="N-K",X5="N-R"),OR(Y5="DN-K",Y5="DN-R"))),1,0) + IF(OR(AND(OR(Y5="DN-K",Y5="DN-R"),OR(Z5="D-K",Z5="D-R",Z5="DN-K",Z5="DN-R")),AND(OR(Y5="N-K",Y5="N-R"),OR(Z5="DN-K",Z5="DN-R"))),1,0) + IF(OR(AND(OR(Z5="DN-K",Z5="DN-R"),OR(AA5="D-K",AA5="D-R",AA5="DN-K",AA5="DN-R")),AND(OR(Z5="N-K",Z5="N-R"),OR(AA5="DN-K",AA5="DN-R"))),1,0) + IF(OR(AND(OR(AA5="DN-K",AA5="DN-R"),OR(AB5="D-K",AB5="D-R",AB5="DN-K",AB5="DN-R")),AND(OR(AA5="N-K",AA5="N-R"),OR(AB5="DN-K",AB5="DN-R"))),1,0) + IF(OR(AND(OR(AB5="DN-K",AB5="DN-R"),OR(AC5="D-K",AC5="D-R",AC5="DN-K",AC5="DN-R")),AND(OR(AB5="N-K",AB5="N-R"),OR(AC5="DN-K",AC5="DN-R"))),1,0) + IF(OR(AND(OR(AC5="DN-K",AC5="DN-R"),OR(AD5="D-K",AD5="D-R",AD5="DN-K",AD5="DN-R")),AND(OR(AC5="N-K",AC5="N-R"),OR(AD5="DN-K",AD5="DN-R"))),1,0) + IF(OR(AND(OR(AD5="DN-K",AD5="DN-R"),OR(AE5="D-K",AE5="D-R",AE5="DN-K",AE5="DN-R")),AND(OR(AD5="N-K",AD5="N-R"),OR(AE5="DN-K",AE5="DN-R"))),1,0) + IF(OR(AND(OR(AE5="DN-K",AE5="DN-R"),OR(AF5="D-K",AF5="D-R",AF5="DN-K",AF5="DN-R")),AND(OR(AE5="N-K",AE5="N-R"),OR(AF5="DN-K",AF5="DN-R"))),1,0))&gt;0,"KONFLIKT 36H","OK")</f>
        <v>OK</v>
      </c>
    </row>
    <row r="6" spans="1:37" ht="44.25" customHeight="1">
      <c r="A6" s="17">
        <v>2</v>
      </c>
      <c r="B6" s="18" t="s">
        <v>15</v>
      </c>
      <c r="C6" s="14" t="str">
        <f>Grafik!C6</f>
        <v/>
      </c>
      <c r="D6" s="14" t="str">
        <f>Grafik!D6</f>
        <v/>
      </c>
      <c r="E6" s="14" t="str">
        <f>Grafik!E6</f>
        <v/>
      </c>
      <c r="F6" s="14" t="str">
        <f>Grafik!F6</f>
        <v>DN-R</v>
      </c>
      <c r="G6" s="15" t="str">
        <f>Grafik!G6</f>
        <v>N-R</v>
      </c>
      <c r="H6" s="15" t="str">
        <f>Grafik!H6</f>
        <v/>
      </c>
      <c r="I6" s="14" t="str">
        <f>Grafik!I6</f>
        <v/>
      </c>
      <c r="J6" s="14" t="str">
        <f>Grafik!J6</f>
        <v/>
      </c>
      <c r="K6" s="14" t="str">
        <f>Grafik!K6</f>
        <v/>
      </c>
      <c r="L6" s="14" t="str">
        <f>Grafik!L6</f>
        <v/>
      </c>
      <c r="M6" s="14" t="str">
        <f>Grafik!M6</f>
        <v/>
      </c>
      <c r="N6" s="15" t="str">
        <f>Grafik!N6</f>
        <v/>
      </c>
      <c r="O6" s="15" t="str">
        <f>Grafik!O6</f>
        <v>DN-R</v>
      </c>
      <c r="P6" s="14" t="str">
        <f>Grafik!P6</f>
        <v/>
      </c>
      <c r="Q6" s="14" t="str">
        <f>Grafik!Q6</f>
        <v/>
      </c>
      <c r="R6" s="14" t="str">
        <f>Grafik!R6</f>
        <v/>
      </c>
      <c r="S6" s="14" t="str">
        <f>Grafik!S6</f>
        <v/>
      </c>
      <c r="T6" s="14" t="str">
        <f>Grafik!T6</f>
        <v/>
      </c>
      <c r="U6" s="15" t="str">
        <f>Grafik!U6</f>
        <v/>
      </c>
      <c r="V6" s="15" t="str">
        <f>Grafik!V6</f>
        <v/>
      </c>
      <c r="W6" s="14" t="str">
        <f>Grafik!W6</f>
        <v>DN-R</v>
      </c>
      <c r="X6" s="14" t="str">
        <f>Grafik!X6</f>
        <v/>
      </c>
      <c r="Y6" s="14" t="str">
        <f>Grafik!Y6</f>
        <v>DN-K</v>
      </c>
      <c r="Z6" s="14" t="str">
        <f>Grafik!Z6</f>
        <v/>
      </c>
      <c r="AA6" s="14" t="str">
        <f>Grafik!AA6</f>
        <v/>
      </c>
      <c r="AB6" s="15" t="str">
        <f>Grafik!AB6</f>
        <v/>
      </c>
      <c r="AC6" s="15" t="str">
        <f>Grafik!AC6</f>
        <v>DN-R</v>
      </c>
      <c r="AD6" s="14" t="str">
        <f>Grafik!AD6</f>
        <v/>
      </c>
      <c r="AE6" s="14" t="str">
        <f>Grafik!AE6</f>
        <v/>
      </c>
      <c r="AF6" s="14" t="str">
        <f>Grafik!AF6</f>
        <v/>
      </c>
      <c r="AG6" s="16">
        <f>Grafik!AH6</f>
        <v>132</v>
      </c>
      <c r="AH6" s="16">
        <v>120</v>
      </c>
      <c r="AI6" s="16">
        <v>180</v>
      </c>
      <c r="AJ6" s="16" t="str">
        <f t="shared" si="0"/>
        <v>W NORMIE</v>
      </c>
      <c r="AK6" s="16" t="str">
        <f t="shared" si="1"/>
        <v>OK</v>
      </c>
    </row>
    <row r="7" spans="1:37" ht="44.25" customHeight="1">
      <c r="A7" s="17">
        <v>3</v>
      </c>
      <c r="B7" s="18" t="s">
        <v>16</v>
      </c>
      <c r="C7" s="14" t="str">
        <f>Grafik!C7</f>
        <v/>
      </c>
      <c r="D7" s="14" t="str">
        <f>Grafik!D7</f>
        <v>DN-K</v>
      </c>
      <c r="E7" s="14" t="str">
        <f>Grafik!E7</f>
        <v/>
      </c>
      <c r="F7" s="14" t="str">
        <f>Grafik!F7</f>
        <v/>
      </c>
      <c r="G7" s="15" t="str">
        <f>Grafik!G7</f>
        <v>DN-K</v>
      </c>
      <c r="H7" s="15" t="str">
        <f>Grafik!H7</f>
        <v/>
      </c>
      <c r="I7" s="14" t="str">
        <f>Grafik!I7</f>
        <v/>
      </c>
      <c r="J7" s="14" t="str">
        <f>Grafik!J7</f>
        <v/>
      </c>
      <c r="K7" s="14" t="str">
        <f>Grafik!K7</f>
        <v/>
      </c>
      <c r="L7" s="14" t="str">
        <f>Grafik!L7</f>
        <v>DN-R</v>
      </c>
      <c r="M7" s="14" t="str">
        <f>Grafik!M7</f>
        <v/>
      </c>
      <c r="N7" s="15" t="str">
        <f>Grafik!N7</f>
        <v/>
      </c>
      <c r="O7" s="15" t="str">
        <f>Grafik!O7</f>
        <v>DN-K</v>
      </c>
      <c r="P7" s="14" t="str">
        <f>Grafik!P7</f>
        <v/>
      </c>
      <c r="Q7" s="14" t="str">
        <f>Grafik!Q7</f>
        <v/>
      </c>
      <c r="R7" s="14" t="str">
        <f>Grafik!R7</f>
        <v/>
      </c>
      <c r="S7" s="14" t="str">
        <f>Grafik!S7</f>
        <v/>
      </c>
      <c r="T7" s="14" t="str">
        <f>Grafik!T7</f>
        <v/>
      </c>
      <c r="U7" s="15" t="str">
        <f>Grafik!U7</f>
        <v/>
      </c>
      <c r="V7" s="15" t="str">
        <f>Grafik!V7</f>
        <v/>
      </c>
      <c r="W7" s="14" t="str">
        <f>Grafik!W7</f>
        <v/>
      </c>
      <c r="X7" s="14" t="str">
        <f>Grafik!X7</f>
        <v/>
      </c>
      <c r="Y7" s="14" t="str">
        <f>Grafik!Y7</f>
        <v/>
      </c>
      <c r="Z7" s="14" t="str">
        <f>Grafik!Z7</f>
        <v/>
      </c>
      <c r="AA7" s="14" t="str">
        <f>Grafik!AA7</f>
        <v/>
      </c>
      <c r="AB7" s="15" t="str">
        <f>Grafik!AB7</f>
        <v/>
      </c>
      <c r="AC7" s="15" t="str">
        <f>Grafik!AC7</f>
        <v/>
      </c>
      <c r="AD7" s="14" t="str">
        <f>Grafik!AD7</f>
        <v/>
      </c>
      <c r="AE7" s="14" t="str">
        <f>Grafik!AE7</f>
        <v/>
      </c>
      <c r="AF7" s="14" t="str">
        <f>Grafik!AF7</f>
        <v>DN-K</v>
      </c>
      <c r="AG7" s="16">
        <f>Grafik!AH7</f>
        <v>120</v>
      </c>
      <c r="AH7" s="16">
        <v>120</v>
      </c>
      <c r="AI7" s="16">
        <v>120</v>
      </c>
      <c r="AJ7" s="16" t="str">
        <f t="shared" si="0"/>
        <v>W NORMIE</v>
      </c>
      <c r="AK7" s="16" t="str">
        <f t="shared" si="1"/>
        <v>OK</v>
      </c>
    </row>
    <row r="8" spans="1:37" ht="44.25" customHeight="1">
      <c r="A8" s="17">
        <v>4</v>
      </c>
      <c r="B8" s="18" t="s">
        <v>17</v>
      </c>
      <c r="C8" s="14" t="str">
        <f>Grafik!C8</f>
        <v/>
      </c>
      <c r="D8" s="14" t="str">
        <f>Grafik!D8</f>
        <v/>
      </c>
      <c r="E8" s="14" t="str">
        <f>Grafik!E8</f>
        <v/>
      </c>
      <c r="F8" s="14" t="str">
        <f>Grafik!F8</f>
        <v/>
      </c>
      <c r="G8" s="15" t="str">
        <f>Grafik!G8</f>
        <v/>
      </c>
      <c r="H8" s="15" t="str">
        <f>Grafik!H8</f>
        <v/>
      </c>
      <c r="I8" s="14" t="str">
        <f>Grafik!I8</f>
        <v>DN-K</v>
      </c>
      <c r="J8" s="14" t="str">
        <f>Grafik!J8</f>
        <v/>
      </c>
      <c r="K8" s="14" t="str">
        <f>Grafik!K8</f>
        <v/>
      </c>
      <c r="L8" s="14" t="str">
        <f>Grafik!L8</f>
        <v/>
      </c>
      <c r="M8" s="14" t="str">
        <f>Grafik!M8</f>
        <v>DN-K</v>
      </c>
      <c r="N8" s="15" t="str">
        <f>Grafik!N8</f>
        <v/>
      </c>
      <c r="O8" s="15" t="str">
        <f>Grafik!O8</f>
        <v/>
      </c>
      <c r="P8" s="14" t="str">
        <f>Grafik!P8</f>
        <v/>
      </c>
      <c r="Q8" s="14" t="str">
        <f>Grafik!Q8</f>
        <v>DN-R</v>
      </c>
      <c r="R8" s="14" t="str">
        <f>Grafik!R8</f>
        <v/>
      </c>
      <c r="S8" s="14" t="str">
        <f>Grafik!S8</f>
        <v/>
      </c>
      <c r="T8" s="14" t="str">
        <f>Grafik!T8</f>
        <v/>
      </c>
      <c r="U8" s="15" t="str">
        <f>Grafik!U8</f>
        <v>DN-K</v>
      </c>
      <c r="V8" s="15" t="str">
        <f>Grafik!V8</f>
        <v/>
      </c>
      <c r="W8" s="14" t="str">
        <f>Grafik!W8</f>
        <v/>
      </c>
      <c r="X8" s="14" t="str">
        <f>Grafik!X8</f>
        <v/>
      </c>
      <c r="Y8" s="14" t="str">
        <f>Grafik!Y8</f>
        <v/>
      </c>
      <c r="Z8" s="14" t="str">
        <f>Grafik!Z8</f>
        <v/>
      </c>
      <c r="AA8" s="14" t="str">
        <f>Grafik!AA8</f>
        <v/>
      </c>
      <c r="AB8" s="15" t="str">
        <f>Grafik!AB8</f>
        <v/>
      </c>
      <c r="AC8" s="15" t="str">
        <f>Grafik!AC8</f>
        <v>DN-K</v>
      </c>
      <c r="AD8" s="14" t="str">
        <f>Grafik!AD8</f>
        <v/>
      </c>
      <c r="AE8" s="14" t="str">
        <f>Grafik!AE8</f>
        <v/>
      </c>
      <c r="AF8" s="14" t="str">
        <f>Grafik!AF8</f>
        <v/>
      </c>
      <c r="AG8" s="16">
        <f>Grafik!AH8</f>
        <v>120</v>
      </c>
      <c r="AH8" s="16">
        <v>120</v>
      </c>
      <c r="AI8" s="16">
        <v>120</v>
      </c>
      <c r="AJ8" s="16" t="str">
        <f t="shared" si="0"/>
        <v>W NORMIE</v>
      </c>
      <c r="AK8" s="16" t="str">
        <f t="shared" si="1"/>
        <v>OK</v>
      </c>
    </row>
    <row r="9" spans="1:37" ht="44.25" customHeight="1">
      <c r="A9" s="17">
        <v>5</v>
      </c>
      <c r="B9" s="18" t="s">
        <v>18</v>
      </c>
      <c r="C9" s="14" t="str">
        <f>Grafik!C9</f>
        <v>DN-K</v>
      </c>
      <c r="D9" s="14" t="str">
        <f>Grafik!D9</f>
        <v>N-R</v>
      </c>
      <c r="E9" s="14" t="str">
        <f>Grafik!E9</f>
        <v/>
      </c>
      <c r="F9" s="14" t="str">
        <f>Grafik!F9</f>
        <v>D-K</v>
      </c>
      <c r="G9" s="15" t="str">
        <f>Grafik!G9</f>
        <v/>
      </c>
      <c r="H9" s="15" t="str">
        <f>Grafik!H9</f>
        <v>DN-K</v>
      </c>
      <c r="I9" s="14" t="str">
        <f>Grafik!I9</f>
        <v/>
      </c>
      <c r="J9" s="14" t="str">
        <f>Grafik!J9</f>
        <v/>
      </c>
      <c r="K9" s="14" t="str">
        <f>Grafik!K9</f>
        <v>DN-K</v>
      </c>
      <c r="L9" s="14" t="str">
        <f>Grafik!L9</f>
        <v/>
      </c>
      <c r="M9" s="14" t="str">
        <f>Grafik!M9</f>
        <v/>
      </c>
      <c r="N9" s="15" t="str">
        <f>Grafik!N9</f>
        <v/>
      </c>
      <c r="O9" s="15" t="str">
        <f>Grafik!O9</f>
        <v/>
      </c>
      <c r="P9" s="14" t="str">
        <f>Grafik!P9</f>
        <v/>
      </c>
      <c r="Q9" s="14" t="str">
        <f>Grafik!Q9</f>
        <v/>
      </c>
      <c r="R9" s="14" t="str">
        <f>Grafik!R9</f>
        <v/>
      </c>
      <c r="S9" s="14" t="str">
        <f>Grafik!S9</f>
        <v/>
      </c>
      <c r="T9" s="14" t="str">
        <f>Grafik!T9</f>
        <v>DN-K</v>
      </c>
      <c r="U9" s="15" t="str">
        <f>Grafik!U9</f>
        <v/>
      </c>
      <c r="V9" s="15" t="str">
        <f>Grafik!V9</f>
        <v/>
      </c>
      <c r="W9" s="14" t="str">
        <f>Grafik!W9</f>
        <v/>
      </c>
      <c r="X9" s="14" t="str">
        <f>Grafik!X9</f>
        <v>DN-K</v>
      </c>
      <c r="Y9" s="14" t="str">
        <f>Grafik!Y9</f>
        <v/>
      </c>
      <c r="Z9" s="14" t="str">
        <f>Grafik!Z9</f>
        <v/>
      </c>
      <c r="AA9" s="14" t="str">
        <f>Grafik!AA9</f>
        <v>DN-K</v>
      </c>
      <c r="AB9" s="15" t="str">
        <f>Grafik!AB9</f>
        <v/>
      </c>
      <c r="AC9" s="15" t="str">
        <f>Grafik!AC9</f>
        <v/>
      </c>
      <c r="AD9" s="14" t="str">
        <f>Grafik!AD9</f>
        <v/>
      </c>
      <c r="AE9" s="14" t="str">
        <f>Grafik!AE9</f>
        <v>N-R</v>
      </c>
      <c r="AF9" s="14" t="str">
        <f>Grafik!AF9</f>
        <v/>
      </c>
      <c r="AG9" s="16">
        <f>Grafik!AH9</f>
        <v>180</v>
      </c>
      <c r="AH9" s="16">
        <v>120</v>
      </c>
      <c r="AI9" s="16">
        <v>240</v>
      </c>
      <c r="AJ9" s="16" t="str">
        <f t="shared" si="0"/>
        <v>W NORMIE</v>
      </c>
      <c r="AK9" s="16" t="str">
        <f t="shared" si="1"/>
        <v>OK</v>
      </c>
    </row>
    <row r="10" spans="1:37" ht="44.25" customHeight="1">
      <c r="A10" s="17">
        <v>6</v>
      </c>
      <c r="B10" s="18" t="s">
        <v>19</v>
      </c>
      <c r="C10" s="14" t="str">
        <f>Grafik!C10</f>
        <v>D-R</v>
      </c>
      <c r="D10" s="14" t="str">
        <f>Grafik!D10</f>
        <v/>
      </c>
      <c r="E10" s="14" t="str">
        <f>Grafik!E10</f>
        <v/>
      </c>
      <c r="F10" s="14" t="str">
        <f>Grafik!F10</f>
        <v>N-K</v>
      </c>
      <c r="G10" s="15" t="str">
        <f>Grafik!G10</f>
        <v/>
      </c>
      <c r="H10" s="15" t="str">
        <f>Grafik!H10</f>
        <v/>
      </c>
      <c r="I10" s="14" t="str">
        <f>Grafik!I10</f>
        <v/>
      </c>
      <c r="J10" s="14" t="str">
        <f>Grafik!J10</f>
        <v>DN-K</v>
      </c>
      <c r="K10" s="14" t="str">
        <f>Grafik!K10</f>
        <v/>
      </c>
      <c r="L10" s="14" t="str">
        <f>Grafik!L10</f>
        <v/>
      </c>
      <c r="M10" s="14" t="str">
        <f>Grafik!M10</f>
        <v/>
      </c>
      <c r="N10" s="15" t="str">
        <f>Grafik!N10</f>
        <v>D-R</v>
      </c>
      <c r="O10" s="15" t="str">
        <f>Grafik!O10</f>
        <v/>
      </c>
      <c r="P10" s="14" t="str">
        <f>Grafik!P10</f>
        <v/>
      </c>
      <c r="Q10" s="14" t="str">
        <f>Grafik!Q10</f>
        <v/>
      </c>
      <c r="R10" s="14" t="str">
        <f>Grafik!R10</f>
        <v>DN-K</v>
      </c>
      <c r="S10" s="14" t="str">
        <f>Grafik!S10</f>
        <v/>
      </c>
      <c r="T10" s="14" t="str">
        <f>Grafik!T10</f>
        <v/>
      </c>
      <c r="U10" s="15" t="str">
        <f>Grafik!U10</f>
        <v/>
      </c>
      <c r="V10" s="15" t="str">
        <f>Grafik!V10</f>
        <v>N-K</v>
      </c>
      <c r="W10" s="14" t="str">
        <f>Grafik!W10</f>
        <v/>
      </c>
      <c r="X10" s="14" t="str">
        <f>Grafik!X10</f>
        <v/>
      </c>
      <c r="Y10" s="14" t="str">
        <f>Grafik!Y10</f>
        <v/>
      </c>
      <c r="Z10" s="14" t="str">
        <f>Grafik!Z10</f>
        <v/>
      </c>
      <c r="AA10" s="14" t="str">
        <f>Grafik!AA10</f>
        <v/>
      </c>
      <c r="AB10" s="15" t="str">
        <f>Grafik!AB10</f>
        <v/>
      </c>
      <c r="AC10" s="15" t="str">
        <f>Grafik!AC10</f>
        <v/>
      </c>
      <c r="AD10" s="14" t="str">
        <f>Grafik!AD10</f>
        <v/>
      </c>
      <c r="AE10" s="14" t="str">
        <f>Grafik!AE10</f>
        <v>DN-K</v>
      </c>
      <c r="AF10" s="14" t="str">
        <f>Grafik!AF10</f>
        <v/>
      </c>
      <c r="AG10" s="16">
        <f>Grafik!AH10</f>
        <v>120</v>
      </c>
      <c r="AH10" s="16">
        <v>120</v>
      </c>
      <c r="AI10" s="16">
        <v>120</v>
      </c>
      <c r="AJ10" s="16" t="str">
        <f t="shared" si="0"/>
        <v>W NORMIE</v>
      </c>
      <c r="AK10" s="16" t="str">
        <f t="shared" si="1"/>
        <v>OK</v>
      </c>
    </row>
    <row r="11" spans="1:37" ht="44.25" customHeight="1">
      <c r="A11" s="17">
        <v>7</v>
      </c>
      <c r="B11" s="18" t="s">
        <v>20</v>
      </c>
      <c r="C11" s="14" t="str">
        <f>Grafik!C11</f>
        <v/>
      </c>
      <c r="D11" s="14" t="str">
        <f>Grafik!D11</f>
        <v/>
      </c>
      <c r="E11" s="14" t="str">
        <f>Grafik!E11</f>
        <v>DN-R</v>
      </c>
      <c r="F11" s="14" t="str">
        <f>Grafik!F11</f>
        <v/>
      </c>
      <c r="G11" s="15" t="str">
        <f>Grafik!G11</f>
        <v/>
      </c>
      <c r="H11" s="15" t="str">
        <f>Grafik!H11</f>
        <v>DN-R</v>
      </c>
      <c r="I11" s="14" t="str">
        <f>Grafik!I11</f>
        <v/>
      </c>
      <c r="J11" s="14" t="str">
        <f>Grafik!J11</f>
        <v/>
      </c>
      <c r="K11" s="14" t="str">
        <f>Grafik!K11</f>
        <v/>
      </c>
      <c r="L11" s="14" t="str">
        <f>Grafik!L11</f>
        <v/>
      </c>
      <c r="M11" s="14" t="str">
        <f>Grafik!M11</f>
        <v/>
      </c>
      <c r="N11" s="15" t="str">
        <f>Grafik!N11</f>
        <v/>
      </c>
      <c r="O11" s="15" t="str">
        <f>Grafik!O11</f>
        <v/>
      </c>
      <c r="P11" s="14" t="str">
        <f>Grafik!P11</f>
        <v>DN-R</v>
      </c>
      <c r="Q11" s="14" t="str">
        <f>Grafik!Q11</f>
        <v/>
      </c>
      <c r="R11" s="14" t="str">
        <f>Grafik!R11</f>
        <v/>
      </c>
      <c r="S11" s="14" t="str">
        <f>Grafik!S11</f>
        <v/>
      </c>
      <c r="T11" s="14" t="str">
        <f>Grafik!T11</f>
        <v/>
      </c>
      <c r="U11" s="15" t="str">
        <f>Grafik!U11</f>
        <v>DN-R</v>
      </c>
      <c r="V11" s="15" t="str">
        <f>Grafik!V11</f>
        <v/>
      </c>
      <c r="W11" s="14" t="str">
        <f>Grafik!W11</f>
        <v/>
      </c>
      <c r="X11" s="14" t="str">
        <f>Grafik!X11</f>
        <v/>
      </c>
      <c r="Y11" s="14" t="str">
        <f>Grafik!Y11</f>
        <v>DN-R</v>
      </c>
      <c r="Z11" s="14" t="str">
        <f>Grafik!Z11</f>
        <v/>
      </c>
      <c r="AA11" s="14" t="str">
        <f>Grafik!AA11</f>
        <v>DN-R</v>
      </c>
      <c r="AB11" s="15" t="str">
        <f>Grafik!AB11</f>
        <v/>
      </c>
      <c r="AC11" s="15" t="str">
        <f>Grafik!AC11</f>
        <v/>
      </c>
      <c r="AD11" s="14" t="str">
        <f>Grafik!AD11</f>
        <v/>
      </c>
      <c r="AE11" s="14" t="str">
        <f>Grafik!AE11</f>
        <v/>
      </c>
      <c r="AF11" s="14" t="str">
        <f>Grafik!AF11</f>
        <v/>
      </c>
      <c r="AG11" s="16">
        <f>Grafik!AH11</f>
        <v>144</v>
      </c>
      <c r="AH11" s="16">
        <v>120</v>
      </c>
      <c r="AI11" s="16">
        <v>180</v>
      </c>
      <c r="AJ11" s="16" t="str">
        <f t="shared" si="0"/>
        <v>W NORMIE</v>
      </c>
      <c r="AK11" s="16" t="str">
        <f t="shared" si="1"/>
        <v>OK</v>
      </c>
    </row>
    <row r="12" spans="1:37" ht="44.25" customHeight="1">
      <c r="A12" s="17">
        <v>8</v>
      </c>
      <c r="B12" s="18" t="s">
        <v>21</v>
      </c>
      <c r="C12" s="14" t="str">
        <f>Grafik!C12</f>
        <v>N-R</v>
      </c>
      <c r="D12" s="14" t="str">
        <f>Grafik!D12</f>
        <v>D-R</v>
      </c>
      <c r="E12" s="14" t="str">
        <f>Grafik!E12</f>
        <v/>
      </c>
      <c r="F12" s="14" t="str">
        <f>Grafik!F12</f>
        <v/>
      </c>
      <c r="G12" s="15" t="str">
        <f>Grafik!G12</f>
        <v>D-R</v>
      </c>
      <c r="H12" s="15" t="str">
        <f>Grafik!H12</f>
        <v/>
      </c>
      <c r="I12" s="14" t="str">
        <f>Grafik!I12</f>
        <v>DN-R</v>
      </c>
      <c r="J12" s="14" t="str">
        <f>Grafik!J12</f>
        <v/>
      </c>
      <c r="K12" s="14" t="str">
        <f>Grafik!K12</f>
        <v>DN-R</v>
      </c>
      <c r="L12" s="14" t="str">
        <f>Grafik!L12</f>
        <v/>
      </c>
      <c r="M12" s="14" t="str">
        <f>Grafik!M12</f>
        <v/>
      </c>
      <c r="N12" s="15" t="str">
        <f>Grafik!N12</f>
        <v>N-R</v>
      </c>
      <c r="O12" s="15" t="str">
        <f>Grafik!O12</f>
        <v/>
      </c>
      <c r="P12" s="14" t="str">
        <f>Grafik!P12</f>
        <v/>
      </c>
      <c r="Q12" s="14" t="str">
        <f>Grafik!Q12</f>
        <v/>
      </c>
      <c r="R12" s="14" t="str">
        <f>Grafik!R12</f>
        <v>D-R</v>
      </c>
      <c r="S12" s="14" t="str">
        <f>Grafik!S12</f>
        <v>DN-R</v>
      </c>
      <c r="T12" s="14" t="str">
        <f>Grafik!T12</f>
        <v/>
      </c>
      <c r="U12" s="15" t="str">
        <f>Grafik!U12</f>
        <v/>
      </c>
      <c r="V12" s="15" t="str">
        <f>Grafik!V12</f>
        <v>DN-R</v>
      </c>
      <c r="W12" s="14" t="str">
        <f>Grafik!W12</f>
        <v/>
      </c>
      <c r="X12" s="14" t="str">
        <f>Grafik!X12</f>
        <v/>
      </c>
      <c r="Y12" s="14" t="str">
        <f>Grafik!Y12</f>
        <v/>
      </c>
      <c r="Z12" s="14" t="str">
        <f>Grafik!Z12</f>
        <v/>
      </c>
      <c r="AA12" s="14" t="str">
        <f>Grafik!AA12</f>
        <v/>
      </c>
      <c r="AB12" s="15" t="str">
        <f>Grafik!AB12</f>
        <v/>
      </c>
      <c r="AC12" s="15" t="str">
        <f>Grafik!AC12</f>
        <v/>
      </c>
      <c r="AD12" s="14" t="str">
        <f>Grafik!AD12</f>
        <v>D-R</v>
      </c>
      <c r="AE12" s="14" t="str">
        <f>Grafik!AE12</f>
        <v/>
      </c>
      <c r="AF12" s="14" t="str">
        <f>Grafik!AF12</f>
        <v/>
      </c>
      <c r="AG12" s="16">
        <f>Grafik!AH12</f>
        <v>168</v>
      </c>
      <c r="AH12" s="16">
        <v>120</v>
      </c>
      <c r="AI12" s="16">
        <v>180</v>
      </c>
      <c r="AJ12" s="16" t="str">
        <f t="shared" si="0"/>
        <v>W NORMIE</v>
      </c>
      <c r="AK12" s="16" t="str">
        <f t="shared" si="1"/>
        <v>OK</v>
      </c>
    </row>
    <row r="13" spans="1:37" ht="44.25" customHeight="1">
      <c r="A13" s="17">
        <v>9</v>
      </c>
      <c r="B13" s="18" t="s">
        <v>22</v>
      </c>
      <c r="C13" s="14" t="str">
        <f>Grafik!C13</f>
        <v/>
      </c>
      <c r="D13" s="14" t="str">
        <f>Grafik!D13</f>
        <v/>
      </c>
      <c r="E13" s="14" t="str">
        <f>Grafik!E13</f>
        <v/>
      </c>
      <c r="F13" s="14" t="str">
        <f>Grafik!F13</f>
        <v/>
      </c>
      <c r="G13" s="15" t="str">
        <f>Grafik!G13</f>
        <v/>
      </c>
      <c r="H13" s="15" t="str">
        <f>Grafik!H13</f>
        <v/>
      </c>
      <c r="I13" s="14" t="str">
        <f>Grafik!I13</f>
        <v/>
      </c>
      <c r="J13" s="14" t="str">
        <f>Grafik!J13</f>
        <v/>
      </c>
      <c r="K13" s="14" t="str">
        <f>Grafik!K13</f>
        <v/>
      </c>
      <c r="L13" s="14" t="str">
        <f>Grafik!L13</f>
        <v/>
      </c>
      <c r="M13" s="14" t="str">
        <f>Grafik!M13</f>
        <v/>
      </c>
      <c r="N13" s="15" t="str">
        <f>Grafik!N13</f>
        <v/>
      </c>
      <c r="O13" s="15" t="str">
        <f>Grafik!O13</f>
        <v/>
      </c>
      <c r="P13" s="14" t="str">
        <f>Grafik!P13</f>
        <v>D-K</v>
      </c>
      <c r="Q13" s="14" t="str">
        <f>Grafik!Q13</f>
        <v/>
      </c>
      <c r="R13" s="14" t="str">
        <f>Grafik!R13</f>
        <v/>
      </c>
      <c r="S13" s="14" t="str">
        <f>Grafik!S13</f>
        <v/>
      </c>
      <c r="T13" s="14" t="str">
        <f>Grafik!T13</f>
        <v>DN-R</v>
      </c>
      <c r="U13" s="15" t="str">
        <f>Grafik!U13</f>
        <v/>
      </c>
      <c r="V13" s="15" t="str">
        <f>Grafik!V13</f>
        <v/>
      </c>
      <c r="W13" s="14" t="str">
        <f>Grafik!W13</f>
        <v/>
      </c>
      <c r="X13" s="14" t="str">
        <f>Grafik!X13</f>
        <v>DN-R</v>
      </c>
      <c r="Y13" s="14" t="str">
        <f>Grafik!Y13</f>
        <v/>
      </c>
      <c r="Z13" s="14" t="str">
        <f>Grafik!Z13</f>
        <v/>
      </c>
      <c r="AA13" s="14" t="str">
        <f>Grafik!AA13</f>
        <v/>
      </c>
      <c r="AB13" s="15" t="str">
        <f>Grafik!AB13</f>
        <v>DN-R</v>
      </c>
      <c r="AC13" s="15" t="str">
        <f>Grafik!AC13</f>
        <v/>
      </c>
      <c r="AD13" s="14" t="str">
        <f>Grafik!AD13</f>
        <v>N-R</v>
      </c>
      <c r="AE13" s="14" t="str">
        <f>Grafik!AE13</f>
        <v/>
      </c>
      <c r="AF13" s="14" t="str">
        <f>Grafik!AF13</f>
        <v>DN-R</v>
      </c>
      <c r="AG13" s="16">
        <f>Grafik!AH13</f>
        <v>120</v>
      </c>
      <c r="AH13" s="16">
        <v>120</v>
      </c>
      <c r="AI13" s="16">
        <v>120</v>
      </c>
      <c r="AJ13" s="16" t="str">
        <f t="shared" si="0"/>
        <v>W NORMIE</v>
      </c>
      <c r="AK13" s="16" t="str">
        <f t="shared" si="1"/>
        <v>OK</v>
      </c>
    </row>
    <row r="14" spans="1:37" ht="44.25" customHeight="1">
      <c r="A14" s="17">
        <v>10</v>
      </c>
      <c r="B14" s="18" t="s">
        <v>23</v>
      </c>
      <c r="C14" s="14" t="str">
        <f>Grafik!C14</f>
        <v/>
      </c>
      <c r="D14" s="14" t="str">
        <f>Grafik!D14</f>
        <v/>
      </c>
      <c r="E14" s="14" t="str">
        <f>Grafik!E14</f>
        <v/>
      </c>
      <c r="F14" s="14" t="str">
        <f>Grafik!F14</f>
        <v/>
      </c>
      <c r="G14" s="15" t="str">
        <f>Grafik!G14</f>
        <v/>
      </c>
      <c r="H14" s="15" t="str">
        <f>Grafik!H14</f>
        <v/>
      </c>
      <c r="I14" s="14" t="str">
        <f>Grafik!I14</f>
        <v/>
      </c>
      <c r="J14" s="14" t="str">
        <f>Grafik!J14</f>
        <v>DN-R</v>
      </c>
      <c r="K14" s="14" t="str">
        <f>Grafik!K14</f>
        <v/>
      </c>
      <c r="L14" s="14" t="str">
        <f>Grafik!L14</f>
        <v/>
      </c>
      <c r="M14" s="14" t="str">
        <f>Grafik!M14</f>
        <v>DN-R</v>
      </c>
      <c r="N14" s="15" t="str">
        <f>Grafik!N14</f>
        <v/>
      </c>
      <c r="O14" s="15" t="str">
        <f>Grafik!O14</f>
        <v/>
      </c>
      <c r="P14" s="14" t="str">
        <f>Grafik!P14</f>
        <v/>
      </c>
      <c r="Q14" s="14" t="str">
        <f>Grafik!Q14</f>
        <v>DN-K</v>
      </c>
      <c r="R14" s="14" t="str">
        <f>Grafik!R14</f>
        <v>N-R</v>
      </c>
      <c r="S14" s="14" t="str">
        <f>Grafik!S14</f>
        <v/>
      </c>
      <c r="T14" s="14" t="str">
        <f>Grafik!T14</f>
        <v/>
      </c>
      <c r="U14" s="15" t="str">
        <f>Grafik!U14</f>
        <v/>
      </c>
      <c r="V14" s="15" t="str">
        <f>Grafik!V14</f>
        <v>D-K</v>
      </c>
      <c r="W14" s="14" t="str">
        <f>Grafik!W14</f>
        <v>DN-K</v>
      </c>
      <c r="X14" s="14" t="str">
        <f>Grafik!X14</f>
        <v/>
      </c>
      <c r="Y14" s="14" t="str">
        <f>Grafik!Y14</f>
        <v/>
      </c>
      <c r="Z14" s="14" t="str">
        <f>Grafik!Z14</f>
        <v>DN-R</v>
      </c>
      <c r="AA14" s="14" t="str">
        <f>Grafik!AA14</f>
        <v/>
      </c>
      <c r="AB14" s="15" t="str">
        <f>Grafik!AB14</f>
        <v/>
      </c>
      <c r="AC14" s="15" t="str">
        <f>Grafik!AC14</f>
        <v/>
      </c>
      <c r="AD14" s="14" t="str">
        <f>Grafik!AD14</f>
        <v/>
      </c>
      <c r="AE14" s="14" t="str">
        <f>Grafik!AE14</f>
        <v>D-R</v>
      </c>
      <c r="AF14" s="14" t="str">
        <f>Grafik!AF14</f>
        <v/>
      </c>
      <c r="AG14" s="16">
        <f>Grafik!AH14</f>
        <v>156</v>
      </c>
      <c r="AH14" s="16">
        <v>120</v>
      </c>
      <c r="AI14" s="16">
        <v>180</v>
      </c>
      <c r="AJ14" s="16" t="str">
        <f t="shared" si="0"/>
        <v>W NORMIE</v>
      </c>
      <c r="AK14" s="16" t="str">
        <f t="shared" si="1"/>
        <v>OK</v>
      </c>
    </row>
    <row r="15" spans="1:37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</sheetData>
  <mergeCells count="6">
    <mergeCell ref="AK3:AK4"/>
    <mergeCell ref="A1:AJ1"/>
    <mergeCell ref="AG3:AG4"/>
    <mergeCell ref="AH3:AH4"/>
    <mergeCell ref="AI3:AI4"/>
    <mergeCell ref="AJ3:AJ4"/>
  </mergeCells>
  <phoneticPr fontId="10" type="noConversion"/>
  <conditionalFormatting sqref="C5:AF14">
    <cfRule type="expression" dxfId="11" priority="47">
      <formula>OR(C5="D-K",C5="N-K",C5="DN-K")</formula>
    </cfRule>
    <cfRule type="expression" dxfId="10" priority="48">
      <formula>OR(C5="D-R",C5="N-R",C5="DN-R")</formula>
    </cfRule>
    <cfRule type="expression" dxfId="9" priority="49">
      <formula>C5="XX"</formula>
    </cfRule>
  </conditionalFormatting>
  <conditionalFormatting sqref="D5:AF14">
    <cfRule type="expression" dxfId="8" priority="17">
      <formula>OR(AND(OR(C5="DN-K",C5="DN-R"),OR(D5="D-K",D5="D-R",D5="N-K",D5="N-R",D5="DN-K",D5="DN-R")),AND(OR(C5="N-K",C5="N-R"),OR(D5="DN-K",D5="DN-R")))</formula>
    </cfRule>
    <cfRule type="expression" dxfId="7" priority="50">
      <formula>OR(AND(OR(C5="DN-K",C5="DN-R"),OR(D5="D-K",D5="D-R",D5="DN-K",D5="DN-R")),AND(OR(C5="N-K",C5="N-R"),OR(D5="DN-K",D5="DN-R")))</formula>
    </cfRule>
  </conditionalFormatting>
  <conditionalFormatting sqref="AI5:AI14">
    <cfRule type="expression" dxfId="6" priority="8">
      <formula>AI5&lt;0</formula>
    </cfRule>
    <cfRule type="expression" dxfId="5" priority="9">
      <formula>AI5&gt;0</formula>
    </cfRule>
    <cfRule type="expression" dxfId="4" priority="10">
      <formula>AI5=0</formula>
    </cfRule>
  </conditionalFormatting>
  <conditionalFormatting sqref="AJ5:AJ14">
    <cfRule type="expression" dxfId="3" priority="11">
      <formula>AJ5="PONIŻEJ MIN"</formula>
    </cfRule>
    <cfRule type="expression" dxfId="2" priority="12">
      <formula>AJ5="W NORMIE"</formula>
    </cfRule>
    <cfRule type="expression" dxfId="1" priority="13">
      <formula>AJ5="POWYŻEJ MAX"</formula>
    </cfRule>
  </conditionalFormatting>
  <conditionalFormatting sqref="AK5:AK14">
    <cfRule type="expression" dxfId="0" priority="79">
      <formula>AK5="KONFLIKT 36H"</formula>
    </cfRule>
  </conditionalFormatting>
  <printOptions horizontalCentered="1" verticalCentered="1"/>
  <pageMargins left="0.15" right="0.15" top="0.2" bottom="0.2" header="0" footer="0"/>
  <pageSetup paperSize="9" scale="43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Grafik</vt:lpstr>
      <vt:lpstr>Ustawienia</vt:lpstr>
      <vt:lpstr>Grafik finalny</vt:lpstr>
      <vt:lpstr>Grafik!Obszar_wydruku</vt:lpstr>
      <vt:lpstr>'Grafik finalny'!Obszar_wydruku</vt:lpstr>
      <vt:lpstr>Ustawienia!Obszar_wydruku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Łukasz Reszczyński</cp:lastModifiedBy>
  <cp:lastPrinted>2026-08-13T20:23:26Z</cp:lastPrinted>
  <dcterms:created xsi:type="dcterms:W3CDTF">2026-08-13T19:32:32Z</dcterms:created>
  <dcterms:modified xsi:type="dcterms:W3CDTF">2026-08-13T20:23:33Z</dcterms:modified>
</cp:coreProperties>
</file>