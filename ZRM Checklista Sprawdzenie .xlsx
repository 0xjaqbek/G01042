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lukaszresz/Desktop/KARETKA PRZYWIDZ /"/>
    </mc:Choice>
  </mc:AlternateContent>
  <xr:revisionPtr revIDLastSave="0" documentId="13_ncr:1_{4F5067E5-020C-D346-9432-7518F8464336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Kontrola dyżuru" sheetId="1" r:id="rId1"/>
    <sheet name="Kierowca - ambula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2" l="1"/>
  <c r="B44" i="2" s="1"/>
  <c r="B72" i="1"/>
  <c r="B71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</calcChain>
</file>

<file path=xl/sharedStrings.xml><?xml version="1.0" encoding="utf-8"?>
<sst xmlns="http://schemas.openxmlformats.org/spreadsheetml/2006/main" count="323" uniqueCount="158">
  <si>
    <t>ZRM P – CODZIENNA KONTROLA GOTOWOŚCI | AMBULANS TYPU C</t>
  </si>
  <si>
    <t>Pracownik wpisuje ręcznie STAN WYMAGANY i STAN FAKTYCZNY. Excel automatycznie pokazuje OK/BRAK dla wartości liczbowych.</t>
  </si>
  <si>
    <t>Data</t>
  </si>
  <si>
    <t>Kryptonim ZRM</t>
  </si>
  <si>
    <t>Nr ambulansu</t>
  </si>
  <si>
    <t>Skład ZRM</t>
  </si>
  <si>
    <t>Osoba sprawdzająca</t>
  </si>
  <si>
    <t>Obszar</t>
  </si>
  <si>
    <t>Element kontroli</t>
  </si>
  <si>
    <t>Jednostka</t>
  </si>
  <si>
    <t>Stan wymagany</t>
  </si>
  <si>
    <t>Stan faktyczny</t>
  </si>
  <si>
    <t>Status</t>
  </si>
  <si>
    <t>Uwagi</t>
  </si>
  <si>
    <t>Defibrylator / monitor</t>
  </si>
  <si>
    <t>Defibrylator-kardiomonitor</t>
  </si>
  <si>
    <t>szt.</t>
  </si>
  <si>
    <t>Akumulator sprawny / naładowany</t>
  </si>
  <si>
    <t>Elektrody wielofunkcyjne dorosłe</t>
  </si>
  <si>
    <t>amp./op.</t>
  </si>
  <si>
    <t>Elektrody pediatryczne</t>
  </si>
  <si>
    <t>Kabel / elektrody EKG 12-odprowadzeniowe</t>
  </si>
  <si>
    <t>komplet</t>
  </si>
  <si>
    <t>Papier EKG</t>
  </si>
  <si>
    <t>Czujnik SpO₂</t>
  </si>
  <si>
    <t>Mankiety NIBP – wymagane rozmiary</t>
  </si>
  <si>
    <t>Akcesoria EtCO₂</t>
  </si>
  <si>
    <t>Drogi oddechowe</t>
  </si>
  <si>
    <t>Respirator transportowy</t>
  </si>
  <si>
    <t>Worek samorozprężalny dorosły</t>
  </si>
  <si>
    <t>Worek samorozprężalny dziecko/noworodek</t>
  </si>
  <si>
    <t>Maski do wentylacji – rozmiary</t>
  </si>
  <si>
    <t>Rurki ustno-gardłowe – rozmiary</t>
  </si>
  <si>
    <t>Rurki nosowo-gardłowe – rozmiary</t>
  </si>
  <si>
    <t>Przyrządy nadgłośniowe – rozmiary</t>
  </si>
  <si>
    <t>Laryngoskop + łyżki</t>
  </si>
  <si>
    <t>Rurki intubacyjne – rozmiary</t>
  </si>
  <si>
    <t>Prowadnica / akcesoria do intubacji</t>
  </si>
  <si>
    <t>Zestaw do konikopunkcji</t>
  </si>
  <si>
    <t>Ssak transportowy</t>
  </si>
  <si>
    <t>Cewniki / końcówki do odsysania</t>
  </si>
  <si>
    <t>Tlen</t>
  </si>
  <si>
    <t>Tlen – instalacja główna</t>
  </si>
  <si>
    <t>kpl.</t>
  </si>
  <si>
    <t>Maski tlenowe / z rezerwuarem</t>
  </si>
  <si>
    <t>Wąsy tlenowe</t>
  </si>
  <si>
    <t>Zestawy do nebulizacji dorosły/dziecko</t>
  </si>
  <si>
    <t>Dostęp IV / IO</t>
  </si>
  <si>
    <t>Kaniule IV – wymagane rozmiary</t>
  </si>
  <si>
    <t>Stazy</t>
  </si>
  <si>
    <t>Strzykawki / igły</t>
  </si>
  <si>
    <t>Przedłużacze / kraniki / korki</t>
  </si>
  <si>
    <t>Urządzenie / zestaw IO</t>
  </si>
  <si>
    <t>Igły IO – wymagane rozmiary</t>
  </si>
  <si>
    <t>Urazy / krwotok</t>
  </si>
  <si>
    <t>Opatrunki jałowe i uciskowe</t>
  </si>
  <si>
    <t>Opatrunki hemostatyczne</t>
  </si>
  <si>
    <t>Opaski uciskowe</t>
  </si>
  <si>
    <t>Zestaw do odbarczenia odmy</t>
  </si>
  <si>
    <t>Materiały na oparzenia</t>
  </si>
  <si>
    <t>Folie termoizolacyjne</t>
  </si>
  <si>
    <t>Unieruchomienie</t>
  </si>
  <si>
    <t>Nosze główne + pasy</t>
  </si>
  <si>
    <t>Krzesło transportowe</t>
  </si>
  <si>
    <t>Nosze podbierakowe</t>
  </si>
  <si>
    <t>Materac próżniowy + pompa</t>
  </si>
  <si>
    <t>Kołnierze – wymagane rozmiary</t>
  </si>
  <si>
    <t>Szyny – komplet</t>
  </si>
  <si>
    <t>Diagnostyka</t>
  </si>
  <si>
    <t>Glukometr</t>
  </si>
  <si>
    <t>Paski do glukometru</t>
  </si>
  <si>
    <t>Termometr</t>
  </si>
  <si>
    <t>Stetoskop</t>
  </si>
  <si>
    <t>Pediatria / poród</t>
  </si>
  <si>
    <t>Zestaw pediatryczny</t>
  </si>
  <si>
    <t>Zestaw do RKO noworodka</t>
  </si>
  <si>
    <t>Zestaw porodowy</t>
  </si>
  <si>
    <t>Leki</t>
  </si>
  <si>
    <t>Płyny infuzyjne</t>
  </si>
  <si>
    <t>Leki kontrolowane</t>
  </si>
  <si>
    <t>Fentanyl</t>
  </si>
  <si>
    <t>Morfina</t>
  </si>
  <si>
    <t>Pozostałe leki kontrolowane</t>
  </si>
  <si>
    <t>Łączność / SWD</t>
  </si>
  <si>
    <t>Terminal SWD PRM</t>
  </si>
  <si>
    <t>Radiostacja samochodowa</t>
  </si>
  <si>
    <t>Radiostacja przenośna</t>
  </si>
  <si>
    <t>Gotowość</t>
  </si>
  <si>
    <t>ŚOI / rękawiczki / środki dezynfekcyjne</t>
  </si>
  <si>
    <t>Pojemnik na odpady ostre</t>
  </si>
  <si>
    <t>Worki na odpady medyczne</t>
  </si>
  <si>
    <t>PODSUMOWANIE</t>
  </si>
  <si>
    <t>Pozycje BRAK</t>
  </si>
  <si>
    <t>Pozycje do sprawdzenia</t>
  </si>
  <si>
    <t>Uwagi / zgłoszone braki</t>
  </si>
  <si>
    <t>KIEROWCA–RATOWNIK | KONTROLA STANU I USZKODZEŃ AMBULANSU</t>
  </si>
  <si>
    <t>Do wykonania wyłącznie przez kierowcę-ratownika na początku dyżuru oraz po stwierdzeniu nowego uszkodzenia</t>
  </si>
  <si>
    <t>Godzina</t>
  </si>
  <si>
    <t>Nr rej. ambulansu</t>
  </si>
  <si>
    <t>Kierowca-ratownik</t>
  </si>
  <si>
    <t>Stan licznika [km]</t>
  </si>
  <si>
    <t>Opis uszkodzenia / uwagi</t>
  </si>
  <si>
    <t>Zgłoszono do</t>
  </si>
  <si>
    <t>Godzina zgłoszenia</t>
  </si>
  <si>
    <t>Nadwozie</t>
  </si>
  <si>
    <t>Karoseria – nowe wgniecenia, rysy, pęknięcia lub inne uszkodzenia</t>
  </si>
  <si>
    <t>Zderzaki, listwy, lusterka i elementy zewnętrzne</t>
  </si>
  <si>
    <t>Szyby – pęknięcia / odpryski / widoczność</t>
  </si>
  <si>
    <t>Drzwi kabiny i przedziału medycznego – otwieranie i zamykanie</t>
  </si>
  <si>
    <t>Drzwi boczne / tylne, zamki i klamki</t>
  </si>
  <si>
    <t>Stopnie wejściowe i uchwyty</t>
  </si>
  <si>
    <t>Oświetlenie</t>
  </si>
  <si>
    <t>Światła mijania / drogowe / pozycyjne</t>
  </si>
  <si>
    <t>Kierunkowskazy / STOP / cofania</t>
  </si>
  <si>
    <t>Uprzywilejowanie</t>
  </si>
  <si>
    <t>Sygnały świetlne pojazdu uprzywilejowanego</t>
  </si>
  <si>
    <t>Sygnały dźwiękowe pojazdu uprzywilejowanego</t>
  </si>
  <si>
    <t>Koła</t>
  </si>
  <si>
    <t>Opony – widoczne uszkodzenia / ciśnienie / stan</t>
  </si>
  <si>
    <t>Felgi / koła – widoczne uszkodzenia</t>
  </si>
  <si>
    <t>Kabina</t>
  </si>
  <si>
    <t>Kontrolki ostrzegawcze po uruchomieniu pojazdu</t>
  </si>
  <si>
    <t>Wycieraczki i spryskiwacze</t>
  </si>
  <si>
    <t>Klakson</t>
  </si>
  <si>
    <t>Pasy bezpieczeństwa</t>
  </si>
  <si>
    <t>Lusterka / kamera cofania, jeśli występuje</t>
  </si>
  <si>
    <t>Eksploatacja</t>
  </si>
  <si>
    <t>Poziom paliwa / gotowość do wyjazdu</t>
  </si>
  <si>
    <t>AdBlue – jeśli dotyczy</t>
  </si>
  <si>
    <t>Widoczne wycieki pod pojazdem</t>
  </si>
  <si>
    <t>Nietypowe komunikaty / odgłosy / zachowanie pojazdu</t>
  </si>
  <si>
    <t>Przedział medyczny</t>
  </si>
  <si>
    <t>Oświetlenie przedziału medycznego</t>
  </si>
  <si>
    <t>Klimatyzacja / ogrzewanie / wentylacja</t>
  </si>
  <si>
    <t>Gniazda i zasilanie w przedziale medycznym</t>
  </si>
  <si>
    <t>Szafki, zamki i elementy zabudowy – brak uszkodzeń</t>
  </si>
  <si>
    <t>Podłoga, ściany i sufit – brak uszkodzeń</t>
  </si>
  <si>
    <t>Mocowanie</t>
  </si>
  <si>
    <t>Mocowanie noszy głównych</t>
  </si>
  <si>
    <t>Mocowania foteli i pasów w przedziale medycznym</t>
  </si>
  <si>
    <t>Mocowania butli tlenowych</t>
  </si>
  <si>
    <t>Mocowania sprzętu medycznego – brak luzów/uszkodzeń</t>
  </si>
  <si>
    <t>Bezpieczeństwo</t>
  </si>
  <si>
    <t>Gaśnica – obecna i zabezpieczona</t>
  </si>
  <si>
    <t>Trójkąt / wyposażenie drogowe</t>
  </si>
  <si>
    <t>Brak luźnych przedmiotów mogących stwarzać zagrożenie</t>
  </si>
  <si>
    <t>PODSUMOWANIE KONTROLI KIEROWCY–RATOWNIKA</t>
  </si>
  <si>
    <t>Uszkodzenia / niesprawności</t>
  </si>
  <si>
    <t>Status ambulansu</t>
  </si>
  <si>
    <t>Nowe uszkodzenia zgłoszono</t>
  </si>
  <si>
    <t>Podpis kierowcy-ratownika</t>
  </si>
  <si>
    <t>BRAK</t>
  </si>
  <si>
    <t xml:space="preserve">uszkodzone krzesełko transportowe </t>
  </si>
  <si>
    <t>OK</t>
  </si>
  <si>
    <t>USZKODZENIE</t>
  </si>
  <si>
    <t xml:space="preserve">wgniecenie drzwi przesownych lewe i prawe </t>
  </si>
  <si>
    <t xml:space="preserve">Jagoda </t>
  </si>
  <si>
    <t>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</si>
</sst>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5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F5D50"/>
      </patternFill>
    </fill>
    <fill>
      <patternFill patternType="solid">
        <fgColor rgb="FFEFE7DA"/>
      </patternFill>
    </fill>
    <fill>
      <patternFill patternType="solid">
        <fgColor rgb="FF2F5D50"/>
      </patternFill>
    </fill>
    <fill>
      <patternFill patternType="solid">
        <fgColor rgb="FFEFE7DA"/>
      </patternFill>
    </fill>
    <fill>
      <patternFill patternType="solid">
        <fgColor rgb="FFFFF4CE"/>
      </patternFill>
    </fill>
    <fill>
      <patternFill patternType="solid">
        <fgColor rgb="FF2F5D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0D7D3"/>
      </bottom>
      <diagonal/>
    </border>
  </borders>
  <cellStyleXfs count="2">
    <xf numFmtId="0" fontId="0" fillId="0" borderId="1"/>
    <xf numFmtId="0" fontId="7" fillId="0" borderId="1"/>
  </cellStyleXfs>
  <cellXfs count="19">
    <xf numFmtId="0" fontId="0" fillId="0" borderId="0" xfId="0" applyBorder="1"/>
    <xf numFmtId="0" fontId="0" fillId="0" borderId="0" xfId="1" applyFont="1" applyBorder="1" applyAlignment="1">
      <alignment wrapText="1"/>
    </xf>
    <xf numFmtId="0" fontId="3" fillId="4" borderId="0" xfId="1" applyFont="1" applyFill="1" applyBorder="1" applyAlignment="1">
      <alignment horizontal="center" wrapText="1"/>
    </xf>
    <xf numFmtId="0" fontId="0" fillId="0" borderId="2" xfId="1" applyFont="1" applyBorder="1" applyAlignment="1">
      <alignment vertical="center" wrapText="1"/>
    </xf>
    <xf numFmtId="0" fontId="0" fillId="6" borderId="2" xfId="1" applyFont="1" applyFill="1" applyBorder="1" applyAlignment="1">
      <alignment vertical="center" wrapText="1"/>
    </xf>
    <xf numFmtId="0" fontId="6" fillId="7" borderId="0" xfId="1" applyFont="1" applyFill="1" applyBorder="1" applyAlignment="1">
      <alignment horizontal="center" vertical="center" wrapText="1"/>
    </xf>
    <xf numFmtId="0" fontId="3" fillId="7" borderId="0" xfId="1" applyFont="1" applyFill="1" applyBorder="1" applyAlignment="1">
      <alignment horizontal="center" vertical="center" wrapText="1"/>
    </xf>
    <xf numFmtId="0" fontId="5" fillId="0" borderId="0" xfId="1" applyFont="1" applyBorder="1" applyAlignment="1">
      <alignment wrapText="1"/>
    </xf>
    <xf numFmtId="17" fontId="0" fillId="0" borderId="0" xfId="1" applyNumberFormat="1" applyFont="1" applyBorder="1" applyAlignment="1">
      <alignment wrapText="1"/>
    </xf>
    <xf numFmtId="0" fontId="2" fillId="5" borderId="1" xfId="1" applyFont="1" applyFill="1" applyAlignment="1">
      <alignment horizontal="center" wrapText="1"/>
    </xf>
    <xf numFmtId="0" fontId="0" fillId="0" borderId="1" xfId="1" applyFont="1"/>
    <xf numFmtId="0" fontId="1" fillId="4" borderId="1" xfId="1" applyFont="1" applyFill="1" applyAlignment="1">
      <alignment horizontal="center" vertical="center" wrapText="1"/>
    </xf>
    <xf numFmtId="0" fontId="3" fillId="4" borderId="1" xfId="1" applyFont="1" applyFill="1" applyAlignment="1">
      <alignment horizontal="center" wrapText="1"/>
    </xf>
    <xf numFmtId="0" fontId="6" fillId="7" borderId="0" xfId="1" applyFont="1" applyFill="1" applyBorder="1" applyAlignment="1">
      <alignment horizontal="center" vertical="center" wrapText="1"/>
    </xf>
    <xf numFmtId="0" fontId="0" fillId="0" borderId="0" xfId="0" applyBorder="1"/>
    <xf numFmtId="0" fontId="4" fillId="2" borderId="0" xfId="1" applyFont="1" applyFill="1" applyBorder="1" applyAlignment="1">
      <alignment horizontal="center" wrapText="1"/>
    </xf>
    <xf numFmtId="0" fontId="0" fillId="0" borderId="0" xfId="1" applyFont="1" applyBorder="1" applyAlignment="1">
      <alignment wrapText="1"/>
    </xf>
    <xf numFmtId="0" fontId="6" fillId="2" borderId="0" xfId="1" applyFont="1" applyFill="1" applyBorder="1" applyAlignment="1">
      <alignment horizontal="center" wrapText="1"/>
    </xf>
    <xf numFmtId="0" fontId="0" fillId="3" borderId="0" xfId="1" applyFont="1" applyFill="1" applyBorder="1" applyAlignment="1">
      <alignment horizontal="center" wrapText="1"/>
    </xf>
  </cellXfs>
  <cellStyles count="2">
    <cellStyle name="Normal" xfId="1" xr:uid="{00000000-0005-0000-0000-000000000000}"/>
    <cellStyle name="Normalny" xfId="0" builtinId="0"/>
  </cellStyles>
  <dxfs count="11">
    <dxf>
      <font>
        <b/>
        <color rgb="FFB3261E"/>
      </font>
      <fill>
        <patternFill>
          <bgColor rgb="FFFCE8E6"/>
        </patternFill>
      </fill>
    </dxf>
    <dxf>
      <font>
        <b/>
      </font>
      <fill>
        <patternFill>
          <bgColor rgb="FFE6F4EA"/>
        </patternFill>
      </fill>
    </dxf>
    <dxf>
      <font>
        <b/>
        <color rgb="FFB3261E"/>
      </font>
      <fill>
        <patternFill>
          <bgColor rgb="FFFCE8E6"/>
        </patternFill>
      </fill>
    </dxf>
    <dxf>
      <font>
        <b/>
      </font>
      <fill>
        <patternFill>
          <bgColor rgb="FFE6F4EA"/>
        </patternFill>
      </fill>
    </dxf>
    <dxf>
      <fill>
        <patternFill patternType="solid">
          <bgColor rgb="FFFFF4CE"/>
        </patternFill>
      </fill>
    </dxf>
    <dxf>
      <font>
        <b/>
        <color rgb="FFB3261E"/>
      </font>
      <fill>
        <patternFill patternType="solid">
          <bgColor rgb="FFFCE8E6"/>
        </patternFill>
      </fill>
    </dxf>
    <dxf>
      <font>
        <b/>
      </font>
      <fill>
        <patternFill patternType="solid">
          <bgColor rgb="FFE6F4EA"/>
        </patternFill>
      </fill>
    </dxf>
    <dxf>
      <font>
        <b/>
        <color rgb="FFB3261E"/>
      </font>
      <fill>
        <patternFill>
          <bgColor rgb="FFFCE8E6"/>
        </patternFill>
      </fill>
    </dxf>
    <dxf>
      <font>
        <b/>
      </font>
      <fill>
        <patternFill>
          <bgColor rgb="FFE6F4EA"/>
        </patternFill>
      </fill>
    </dxf>
    <dxf>
      <font>
        <b/>
        <color rgb="FFB3261E"/>
      </font>
      <fill>
        <patternFill>
          <bgColor rgb="FFFCE8E6"/>
        </patternFill>
      </fill>
    </dxf>
    <dxf>
      <font>
        <b/>
      </font>
      <fill>
        <patternFill>
          <bgColor rgb="FFE6F4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ierowcaAmbulansTable" displayName="KierowcaAmbulansTable" ref="A7:F40" totalsRowShown="0">
  <tableColumns count="6">
    <tableColumn id="1" xr3:uid="{00000000-0010-0000-0000-000001000000}" name="Obszar"/>
    <tableColumn id="2" xr3:uid="{00000000-0010-0000-0000-000002000000}" name="Element kontroli"/>
    <tableColumn id="3" xr3:uid="{00000000-0010-0000-0000-000003000000}" name="Status"/>
    <tableColumn id="4" xr3:uid="{00000000-0010-0000-0000-000004000000}" name="Opis uszkodzenia / uwagi"/>
    <tableColumn id="5" xr3:uid="{00000000-0010-0000-0000-000005000000}" name="Zgłoszono do"/>
    <tableColumn id="6" xr3:uid="{00000000-0010-0000-0000-000006000000}" name="Godzina zgłoszen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showGridLines="0" tabSelected="1" workbookViewId="0">
      <selection activeCell="F61" sqref="F61"/>
    </sheetView>
  </sheetViews>
  <sheetFormatPr baseColWidth="10" defaultColWidth="8.83203125" defaultRowHeight="15"/>
  <cols>
    <col min="1" max="1" width="23" customWidth="1"/>
    <col min="2" max="2" width="48" customWidth="1"/>
    <col min="3" max="3" width="13" customWidth="1"/>
    <col min="4" max="5" width="16" customWidth="1"/>
    <col min="6" max="6" width="20" customWidth="1"/>
    <col min="7" max="7" width="38" customWidth="1"/>
  </cols>
  <sheetData>
    <row r="1" spans="1:7">
      <c r="A1" s="15" t="s">
        <v>0</v>
      </c>
      <c r="B1" s="16"/>
      <c r="C1" s="16"/>
      <c r="D1" s="16"/>
      <c r="E1" s="16"/>
      <c r="F1" s="16"/>
      <c r="G1" s="1"/>
    </row>
    <row r="2" spans="1:7">
      <c r="A2" s="18" t="s">
        <v>1</v>
      </c>
      <c r="B2" s="16"/>
      <c r="C2" s="16"/>
      <c r="D2" s="16"/>
      <c r="E2" s="16"/>
      <c r="F2" s="16"/>
      <c r="G2" s="16"/>
    </row>
    <row r="3" spans="1:7">
      <c r="A3" s="1"/>
      <c r="B3" s="1"/>
      <c r="C3" s="1"/>
      <c r="D3" s="1"/>
      <c r="E3" s="1"/>
      <c r="F3" s="1"/>
      <c r="G3" s="1"/>
    </row>
    <row r="4" spans="1:7" ht="32">
      <c r="A4" s="7" t="s">
        <v>2</v>
      </c>
      <c r="B4" s="1"/>
      <c r="C4" s="7" t="s">
        <v>3</v>
      </c>
      <c r="D4" s="1"/>
      <c r="E4" s="7" t="s">
        <v>4</v>
      </c>
      <c r="F4" s="1"/>
      <c r="G4" s="1"/>
    </row>
    <row r="5" spans="1:7" ht="48">
      <c r="A5" s="7" t="s">
        <v>5</v>
      </c>
      <c r="B5" s="1"/>
      <c r="C5" s="7" t="s">
        <v>6</v>
      </c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 ht="16">
      <c r="A7" s="13" t="s">
        <v>7</v>
      </c>
      <c r="B7" s="13" t="s">
        <v>8</v>
      </c>
      <c r="C7" s="13" t="s">
        <v>9</v>
      </c>
      <c r="D7" s="13" t="s">
        <v>10</v>
      </c>
      <c r="E7" s="13" t="s">
        <v>11</v>
      </c>
      <c r="F7" s="5" t="s">
        <v>12</v>
      </c>
      <c r="G7" s="6" t="s">
        <v>13</v>
      </c>
    </row>
    <row r="8" spans="1:7" ht="16">
      <c r="A8" s="3" t="s">
        <v>14</v>
      </c>
      <c r="B8" s="3" t="s">
        <v>15</v>
      </c>
      <c r="C8" s="3" t="s">
        <v>16</v>
      </c>
      <c r="D8" s="3">
        <v>1</v>
      </c>
      <c r="E8" s="4">
        <v>1</v>
      </c>
      <c r="F8" s="3" t="str">
        <f t="shared" ref="F8:F36" si="0">IF(OR(D8="",E8=""),"DO UZUPEŁNIENIA",IF(AND(ISNUMBER(D8),ISNUMBER(E8)),IF(E8&gt;=D8,"OK","BRAK"),"SPRAWDŹ"))</f>
        <v>OK</v>
      </c>
      <c r="G8" s="1"/>
    </row>
    <row r="9" spans="1:7" ht="16">
      <c r="A9" s="3" t="s">
        <v>14</v>
      </c>
      <c r="B9" s="3" t="s">
        <v>17</v>
      </c>
      <c r="C9" s="3" t="s">
        <v>16</v>
      </c>
      <c r="D9" s="3">
        <v>2</v>
      </c>
      <c r="E9" s="4">
        <v>2</v>
      </c>
      <c r="F9" s="3" t="str">
        <f>IF(OR(D9="",E9=""),"DO UZUPEŁNIENIA",IF(AND(ISNUMBER(D9),ISNUMBER(E9)),IF(E9&gt;=D9,"OK","BRAK"),"SPRAWDŹ"))</f>
        <v>OK</v>
      </c>
      <c r="G9" s="1"/>
    </row>
    <row r="10" spans="1:7" ht="16">
      <c r="A10" s="3" t="s">
        <v>14</v>
      </c>
      <c r="B10" s="3" t="s">
        <v>18</v>
      </c>
      <c r="C10" s="3" t="s">
        <v>19</v>
      </c>
      <c r="D10" s="3">
        <v>2</v>
      </c>
      <c r="E10" s="4">
        <v>2</v>
      </c>
      <c r="F10" s="3" t="str">
        <f>IF(OR(D10="",E10=""),"DO UZUPEŁNIENIA",IF(AND(ISNUMBER(D10),ISNUMBER(E10)),IF(E10&gt;=D10,"OK","BRAK"),"SPRAWDŹ"))</f>
        <v>OK</v>
      </c>
      <c r="G10" s="1"/>
    </row>
    <row r="11" spans="1:7" ht="16">
      <c r="A11" s="3" t="s">
        <v>14</v>
      </c>
      <c r="B11" s="3" t="s">
        <v>20</v>
      </c>
      <c r="C11" s="3" t="s">
        <v>19</v>
      </c>
      <c r="D11" s="3">
        <v>1</v>
      </c>
      <c r="E11" s="4">
        <v>1</v>
      </c>
      <c r="F11" s="3" t="str">
        <f t="shared" si="0"/>
        <v>OK</v>
      </c>
      <c r="G11" s="1"/>
    </row>
    <row r="12" spans="1:7" ht="16">
      <c r="A12" s="3" t="s">
        <v>14</v>
      </c>
      <c r="B12" s="3" t="s">
        <v>21</v>
      </c>
      <c r="C12" s="3" t="s">
        <v>22</v>
      </c>
      <c r="D12" s="3">
        <v>1</v>
      </c>
      <c r="E12" s="4">
        <v>1</v>
      </c>
      <c r="F12" s="3" t="str">
        <f t="shared" si="0"/>
        <v>OK</v>
      </c>
      <c r="G12" s="1"/>
    </row>
    <row r="13" spans="1:7" ht="16">
      <c r="A13" s="3" t="s">
        <v>14</v>
      </c>
      <c r="B13" s="3" t="s">
        <v>23</v>
      </c>
      <c r="C13" s="3" t="s">
        <v>16</v>
      </c>
      <c r="D13" s="3">
        <v>1</v>
      </c>
      <c r="E13" s="4">
        <v>1</v>
      </c>
      <c r="F13" s="3" t="str">
        <f t="shared" si="0"/>
        <v>OK</v>
      </c>
      <c r="G13" s="1"/>
    </row>
    <row r="14" spans="1:7" ht="16">
      <c r="A14" s="3" t="s">
        <v>14</v>
      </c>
      <c r="B14" s="3" t="s">
        <v>24</v>
      </c>
      <c r="C14" s="3" t="s">
        <v>16</v>
      </c>
      <c r="D14" s="3">
        <v>1</v>
      </c>
      <c r="E14" s="4">
        <v>1</v>
      </c>
      <c r="F14" s="3" t="str">
        <f t="shared" si="0"/>
        <v>OK</v>
      </c>
      <c r="G14" s="1"/>
    </row>
    <row r="15" spans="1:7" ht="16">
      <c r="A15" s="3" t="s">
        <v>14</v>
      </c>
      <c r="B15" s="3" t="s">
        <v>25</v>
      </c>
      <c r="C15" s="3" t="s">
        <v>22</v>
      </c>
      <c r="D15" s="3">
        <v>1</v>
      </c>
      <c r="E15" s="4">
        <v>1</v>
      </c>
      <c r="F15" s="3" t="str">
        <f t="shared" si="0"/>
        <v>OK</v>
      </c>
      <c r="G15" s="1"/>
    </row>
    <row r="16" spans="1:7" ht="16">
      <c r="A16" s="3" t="s">
        <v>14</v>
      </c>
      <c r="B16" s="3" t="s">
        <v>26</v>
      </c>
      <c r="C16" s="3" t="s">
        <v>22</v>
      </c>
      <c r="D16" s="3">
        <v>1</v>
      </c>
      <c r="E16" s="4">
        <v>1</v>
      </c>
      <c r="F16" s="3" t="str">
        <f t="shared" si="0"/>
        <v>OK</v>
      </c>
      <c r="G16" s="1"/>
    </row>
    <row r="17" spans="1:7" ht="16">
      <c r="A17" s="3" t="s">
        <v>27</v>
      </c>
      <c r="B17" s="3" t="s">
        <v>28</v>
      </c>
      <c r="C17" s="3" t="s">
        <v>16</v>
      </c>
      <c r="D17" s="3">
        <v>2</v>
      </c>
      <c r="E17" s="4">
        <v>2</v>
      </c>
      <c r="F17" s="3" t="str">
        <f t="shared" si="0"/>
        <v>OK</v>
      </c>
      <c r="G17" s="1"/>
    </row>
    <row r="18" spans="1:7" ht="16">
      <c r="A18" s="3" t="s">
        <v>27</v>
      </c>
      <c r="B18" s="3" t="s">
        <v>29</v>
      </c>
      <c r="C18" s="3" t="s">
        <v>16</v>
      </c>
      <c r="D18" s="3">
        <v>1</v>
      </c>
      <c r="E18" s="4">
        <v>1</v>
      </c>
      <c r="F18" s="3" t="str">
        <f t="shared" si="0"/>
        <v>OK</v>
      </c>
      <c r="G18" s="1"/>
    </row>
    <row r="19" spans="1:7" ht="16">
      <c r="A19" s="3" t="s">
        <v>27</v>
      </c>
      <c r="B19" s="3" t="s">
        <v>30</v>
      </c>
      <c r="C19" s="3" t="s">
        <v>16</v>
      </c>
      <c r="D19" s="3">
        <v>1</v>
      </c>
      <c r="E19" s="4">
        <v>1</v>
      </c>
      <c r="F19" s="3" t="str">
        <f t="shared" si="0"/>
        <v>OK</v>
      </c>
      <c r="G19" s="1"/>
    </row>
    <row r="20" spans="1:7" ht="16">
      <c r="A20" s="3" t="s">
        <v>27</v>
      </c>
      <c r="B20" s="3" t="s">
        <v>31</v>
      </c>
      <c r="C20" s="3" t="s">
        <v>22</v>
      </c>
      <c r="D20" s="3">
        <v>6</v>
      </c>
      <c r="E20" s="4">
        <v>6</v>
      </c>
      <c r="F20" s="3" t="str">
        <f t="shared" si="0"/>
        <v>OK</v>
      </c>
      <c r="G20" s="1"/>
    </row>
    <row r="21" spans="1:7" ht="16">
      <c r="A21" s="3" t="s">
        <v>27</v>
      </c>
      <c r="B21" s="3" t="s">
        <v>32</v>
      </c>
      <c r="C21" s="3" t="s">
        <v>22</v>
      </c>
      <c r="D21" s="3">
        <v>10</v>
      </c>
      <c r="E21" s="4">
        <v>10</v>
      </c>
      <c r="F21" s="3" t="str">
        <f t="shared" si="0"/>
        <v>OK</v>
      </c>
      <c r="G21" s="1"/>
    </row>
    <row r="22" spans="1:7" ht="16">
      <c r="A22" s="3" t="s">
        <v>27</v>
      </c>
      <c r="B22" s="3" t="s">
        <v>33</v>
      </c>
      <c r="C22" s="3" t="s">
        <v>22</v>
      </c>
      <c r="D22" s="3">
        <v>10</v>
      </c>
      <c r="E22" s="4">
        <v>10</v>
      </c>
      <c r="F22" s="3" t="str">
        <f t="shared" si="0"/>
        <v>OK</v>
      </c>
      <c r="G22" s="1"/>
    </row>
    <row r="23" spans="1:7" ht="16">
      <c r="A23" s="3" t="s">
        <v>27</v>
      </c>
      <c r="B23" s="3" t="s">
        <v>34</v>
      </c>
      <c r="C23" s="3" t="s">
        <v>22</v>
      </c>
      <c r="D23" s="3">
        <v>5</v>
      </c>
      <c r="E23" s="4">
        <v>5</v>
      </c>
      <c r="F23" s="3" t="str">
        <f>IF(OR(D23="",E23=""),"DO UZUPEŁNIENIA",IF(AND(ISNUMBER(D23),ISNUMBER(E23)),IF(E23&gt;=D23,"OK","BRAK"),"SPRAWDŹ"))</f>
        <v>OK</v>
      </c>
      <c r="G23" s="1"/>
    </row>
    <row r="24" spans="1:7" ht="16">
      <c r="A24" s="3" t="s">
        <v>27</v>
      </c>
      <c r="B24" s="3" t="s">
        <v>35</v>
      </c>
      <c r="C24" s="3" t="s">
        <v>16</v>
      </c>
      <c r="D24" s="3">
        <v>2</v>
      </c>
      <c r="E24" s="4">
        <v>2</v>
      </c>
      <c r="F24" s="3" t="str">
        <f>IF(OR(D24="",E24=""),"DO UZUPEŁNIENIA",IF(AND(ISNUMBER(D24),ISNUMBER(E24)),IF(E24&gt;=D24,"OK","BRAK"),"SPRAWDŹ"))</f>
        <v>OK</v>
      </c>
      <c r="G24" s="1"/>
    </row>
    <row r="25" spans="1:7" ht="16">
      <c r="A25" s="3" t="s">
        <v>27</v>
      </c>
      <c r="B25" s="3" t="s">
        <v>36</v>
      </c>
      <c r="C25" s="3" t="s">
        <v>22</v>
      </c>
      <c r="D25" s="3">
        <v>20</v>
      </c>
      <c r="E25" s="4">
        <v>20</v>
      </c>
      <c r="F25" s="3" t="str">
        <f t="shared" si="0"/>
        <v>OK</v>
      </c>
      <c r="G25" s="1"/>
    </row>
    <row r="26" spans="1:7" ht="16">
      <c r="A26" s="3" t="s">
        <v>27</v>
      </c>
      <c r="B26" s="3" t="s">
        <v>37</v>
      </c>
      <c r="C26" s="3" t="s">
        <v>22</v>
      </c>
      <c r="D26" s="3">
        <v>1</v>
      </c>
      <c r="E26" s="4">
        <v>1</v>
      </c>
      <c r="F26" s="3" t="str">
        <f t="shared" si="0"/>
        <v>OK</v>
      </c>
      <c r="G26" s="1"/>
    </row>
    <row r="27" spans="1:7" ht="16">
      <c r="A27" s="3" t="s">
        <v>27</v>
      </c>
      <c r="B27" s="3" t="s">
        <v>38</v>
      </c>
      <c r="C27" s="3" t="s">
        <v>151</v>
      </c>
      <c r="D27" s="3">
        <v>0</v>
      </c>
      <c r="E27" s="4">
        <v>0</v>
      </c>
      <c r="F27" s="3" t="str">
        <f t="shared" si="0"/>
        <v>OK</v>
      </c>
      <c r="G27" s="1"/>
    </row>
    <row r="28" spans="1:7" ht="16">
      <c r="A28" s="3" t="s">
        <v>27</v>
      </c>
      <c r="B28" s="3" t="s">
        <v>39</v>
      </c>
      <c r="C28" s="3" t="s">
        <v>16</v>
      </c>
      <c r="D28" s="3">
        <v>1</v>
      </c>
      <c r="E28" s="4"/>
      <c r="F28" s="3" t="str">
        <f t="shared" si="0"/>
        <v>DO UZUPEŁNIENIA</v>
      </c>
      <c r="G28" s="1"/>
    </row>
    <row r="29" spans="1:7" ht="16">
      <c r="A29" s="3" t="s">
        <v>27</v>
      </c>
      <c r="B29" s="3" t="s">
        <v>40</v>
      </c>
      <c r="C29" s="3" t="s">
        <v>16</v>
      </c>
      <c r="D29" s="3">
        <v>10</v>
      </c>
      <c r="E29" s="4">
        <v>10</v>
      </c>
      <c r="F29" s="3" t="str">
        <f t="shared" si="0"/>
        <v>OK</v>
      </c>
      <c r="G29" s="1"/>
    </row>
    <row r="30" spans="1:7" ht="16">
      <c r="A30" s="3" t="s">
        <v>41</v>
      </c>
      <c r="B30" s="3" t="s">
        <v>42</v>
      </c>
      <c r="C30" s="3" t="s">
        <v>43</v>
      </c>
      <c r="D30" s="3">
        <v>4</v>
      </c>
      <c r="E30" s="4">
        <v>4</v>
      </c>
      <c r="F30" s="3" t="str">
        <f t="shared" si="0"/>
        <v>OK</v>
      </c>
      <c r="G30" s="1"/>
    </row>
    <row r="31" spans="1:7" ht="16">
      <c r="A31" s="3" t="s">
        <v>41</v>
      </c>
      <c r="B31" s="3" t="s">
        <v>44</v>
      </c>
      <c r="C31" s="3" t="s">
        <v>22</v>
      </c>
      <c r="D31" s="3">
        <v>6</v>
      </c>
      <c r="E31" s="4">
        <v>6</v>
      </c>
      <c r="F31" s="3" t="str">
        <f t="shared" si="0"/>
        <v>OK</v>
      </c>
      <c r="G31" s="1"/>
    </row>
    <row r="32" spans="1:7" ht="16">
      <c r="A32" s="3" t="s">
        <v>41</v>
      </c>
      <c r="B32" s="3" t="s">
        <v>45</v>
      </c>
      <c r="C32" s="3" t="s">
        <v>16</v>
      </c>
      <c r="D32" s="3">
        <v>3</v>
      </c>
      <c r="E32" s="4">
        <v>3</v>
      </c>
      <c r="F32" s="3" t="str">
        <f t="shared" si="0"/>
        <v>OK</v>
      </c>
      <c r="G32" s="1"/>
    </row>
    <row r="33" spans="1:7" ht="16">
      <c r="A33" s="3" t="s">
        <v>41</v>
      </c>
      <c r="B33" s="3" t="s">
        <v>46</v>
      </c>
      <c r="C33" s="3" t="s">
        <v>22</v>
      </c>
      <c r="D33" s="3">
        <v>6</v>
      </c>
      <c r="E33" s="4">
        <v>6</v>
      </c>
      <c r="F33" s="3" t="str">
        <f t="shared" si="0"/>
        <v>OK</v>
      </c>
      <c r="G33" s="1"/>
    </row>
    <row r="34" spans="1:7" ht="16">
      <c r="A34" s="3" t="s">
        <v>47</v>
      </c>
      <c r="B34" s="3" t="s">
        <v>48</v>
      </c>
      <c r="C34" s="3" t="s">
        <v>22</v>
      </c>
      <c r="D34" s="3">
        <v>4</v>
      </c>
      <c r="E34" s="4">
        <v>4</v>
      </c>
      <c r="F34" s="3" t="str">
        <f t="shared" si="0"/>
        <v>OK</v>
      </c>
      <c r="G34" s="1"/>
    </row>
    <row r="35" spans="1:7" ht="16">
      <c r="A35" s="3" t="s">
        <v>47</v>
      </c>
      <c r="B35" s="3" t="s">
        <v>49</v>
      </c>
      <c r="C35" s="3" t="s">
        <v>16</v>
      </c>
      <c r="D35" s="3">
        <v>2</v>
      </c>
      <c r="E35" s="4">
        <v>2</v>
      </c>
      <c r="F35" s="3" t="str">
        <f t="shared" si="0"/>
        <v>OK</v>
      </c>
      <c r="G35" s="1"/>
    </row>
    <row r="36" spans="1:7" ht="16">
      <c r="A36" s="3" t="s">
        <v>47</v>
      </c>
      <c r="B36" s="3" t="s">
        <v>50</v>
      </c>
      <c r="C36" s="3" t="s">
        <v>22</v>
      </c>
      <c r="D36" s="3">
        <v>4</v>
      </c>
      <c r="E36" s="4">
        <v>4</v>
      </c>
      <c r="F36" s="3" t="str">
        <f t="shared" si="0"/>
        <v>OK</v>
      </c>
      <c r="G36" s="1"/>
    </row>
    <row r="37" spans="1:7" ht="16">
      <c r="A37" s="3" t="s">
        <v>47</v>
      </c>
      <c r="B37" s="3" t="s">
        <v>51</v>
      </c>
      <c r="C37" s="3" t="s">
        <v>16</v>
      </c>
      <c r="D37" s="3">
        <v>5</v>
      </c>
      <c r="E37" s="4">
        <v>5</v>
      </c>
      <c r="F37" s="3" t="str">
        <f t="shared" ref="F37:F65" si="1">IF(OR(D37="",E37=""),"DO UZUPEŁNIENIA",IF(AND(ISNUMBER(D37),ISNUMBER(E37)),IF(E37&gt;=D37,"OK","BRAK"),"SPRAWDŹ"))</f>
        <v>OK</v>
      </c>
      <c r="G37" s="1"/>
    </row>
    <row r="38" spans="1:7" ht="16">
      <c r="A38" s="3" t="s">
        <v>47</v>
      </c>
      <c r="B38" s="3" t="s">
        <v>52</v>
      </c>
      <c r="C38" s="3" t="s">
        <v>22</v>
      </c>
      <c r="D38" s="3">
        <v>2</v>
      </c>
      <c r="E38" s="4">
        <v>2</v>
      </c>
      <c r="F38" s="3" t="str">
        <f t="shared" si="1"/>
        <v>OK</v>
      </c>
      <c r="G38" s="1"/>
    </row>
    <row r="39" spans="1:7" ht="16">
      <c r="A39" s="3" t="s">
        <v>47</v>
      </c>
      <c r="B39" s="3" t="s">
        <v>53</v>
      </c>
      <c r="C39" s="3" t="s">
        <v>151</v>
      </c>
      <c r="D39" s="3">
        <v>0</v>
      </c>
      <c r="E39" s="4">
        <v>0</v>
      </c>
      <c r="F39" s="3" t="str">
        <f t="shared" si="1"/>
        <v>OK</v>
      </c>
      <c r="G39" s="1"/>
    </row>
    <row r="40" spans="1:7" ht="16">
      <c r="A40" s="3" t="s">
        <v>54</v>
      </c>
      <c r="B40" s="3" t="s">
        <v>55</v>
      </c>
      <c r="C40" s="3" t="s">
        <v>16</v>
      </c>
      <c r="D40" s="3">
        <v>10</v>
      </c>
      <c r="E40" s="4">
        <v>10</v>
      </c>
      <c r="F40" s="3" t="str">
        <f t="shared" si="1"/>
        <v>OK</v>
      </c>
      <c r="G40" s="1"/>
    </row>
    <row r="41" spans="1:7" ht="16">
      <c r="A41" s="3" t="s">
        <v>54</v>
      </c>
      <c r="B41" s="3" t="s">
        <v>56</v>
      </c>
      <c r="C41" s="3" t="s">
        <v>151</v>
      </c>
      <c r="D41" s="3">
        <v>0</v>
      </c>
      <c r="E41" s="4">
        <v>0</v>
      </c>
      <c r="F41" s="3" t="str">
        <f t="shared" si="1"/>
        <v>OK</v>
      </c>
      <c r="G41" s="1"/>
    </row>
    <row r="42" spans="1:7" ht="16">
      <c r="A42" s="3" t="s">
        <v>54</v>
      </c>
      <c r="B42" s="3" t="s">
        <v>57</v>
      </c>
      <c r="C42" s="3" t="s">
        <v>16</v>
      </c>
      <c r="D42" s="3">
        <v>2</v>
      </c>
      <c r="E42" s="4">
        <v>2</v>
      </c>
      <c r="F42" s="3" t="str">
        <f t="shared" si="1"/>
        <v>OK</v>
      </c>
      <c r="G42" s="1"/>
    </row>
    <row r="43" spans="1:7" ht="16">
      <c r="A43" s="3" t="s">
        <v>54</v>
      </c>
      <c r="B43" s="3" t="s">
        <v>58</v>
      </c>
      <c r="C43" s="3" t="s">
        <v>22</v>
      </c>
      <c r="D43" s="3">
        <v>1</v>
      </c>
      <c r="E43" s="4">
        <v>1</v>
      </c>
      <c r="F43" s="3" t="str">
        <f t="shared" si="1"/>
        <v>OK</v>
      </c>
      <c r="G43" s="1"/>
    </row>
    <row r="44" spans="1:7" ht="16">
      <c r="A44" s="3" t="s">
        <v>54</v>
      </c>
      <c r="B44" s="3" t="s">
        <v>59</v>
      </c>
      <c r="C44" s="3" t="s">
        <v>16</v>
      </c>
      <c r="D44" s="3">
        <v>6</v>
      </c>
      <c r="E44" s="4">
        <v>6</v>
      </c>
      <c r="F44" s="3" t="str">
        <f t="shared" si="1"/>
        <v>OK</v>
      </c>
      <c r="G44" s="1"/>
    </row>
    <row r="45" spans="1:7" ht="16">
      <c r="A45" s="3" t="s">
        <v>54</v>
      </c>
      <c r="B45" s="3" t="s">
        <v>60</v>
      </c>
      <c r="C45" s="3" t="s">
        <v>16</v>
      </c>
      <c r="D45" s="3">
        <v>6</v>
      </c>
      <c r="E45" s="4">
        <v>6</v>
      </c>
      <c r="F45" s="3" t="str">
        <f t="shared" si="1"/>
        <v>OK</v>
      </c>
      <c r="G45" s="1"/>
    </row>
    <row r="46" spans="1:7" ht="16">
      <c r="A46" s="3" t="s">
        <v>61</v>
      </c>
      <c r="B46" s="3" t="s">
        <v>62</v>
      </c>
      <c r="C46" s="3" t="s">
        <v>16</v>
      </c>
      <c r="D46" s="3">
        <v>1</v>
      </c>
      <c r="E46" s="4">
        <v>1</v>
      </c>
      <c r="F46" s="3" t="str">
        <f t="shared" si="1"/>
        <v>OK</v>
      </c>
      <c r="G46" s="1"/>
    </row>
    <row r="47" spans="1:7" ht="16">
      <c r="A47" s="3" t="s">
        <v>61</v>
      </c>
      <c r="B47" s="3" t="s">
        <v>63</v>
      </c>
      <c r="C47" s="3" t="s">
        <v>16</v>
      </c>
      <c r="D47" s="3">
        <v>1</v>
      </c>
      <c r="E47" s="4">
        <v>1</v>
      </c>
      <c r="F47" s="3" t="str">
        <f t="shared" si="1"/>
        <v>OK</v>
      </c>
      <c r="G47" s="1"/>
    </row>
    <row r="48" spans="1:7" ht="16">
      <c r="A48" s="3" t="s">
        <v>61</v>
      </c>
      <c r="B48" s="3" t="s">
        <v>64</v>
      </c>
      <c r="C48" s="3" t="s">
        <v>16</v>
      </c>
      <c r="D48" s="3">
        <v>1</v>
      </c>
      <c r="E48" s="4">
        <v>1</v>
      </c>
      <c r="F48" s="3" t="str">
        <f t="shared" si="1"/>
        <v>OK</v>
      </c>
      <c r="G48" s="1"/>
    </row>
    <row r="49" spans="1:7" ht="16">
      <c r="A49" s="3" t="s">
        <v>61</v>
      </c>
      <c r="B49" s="3" t="s">
        <v>65</v>
      </c>
      <c r="C49" s="3" t="s">
        <v>16</v>
      </c>
      <c r="D49" s="3">
        <v>1</v>
      </c>
      <c r="E49" s="4">
        <v>1</v>
      </c>
      <c r="F49" s="3" t="str">
        <f t="shared" si="1"/>
        <v>OK</v>
      </c>
      <c r="G49" s="1"/>
    </row>
    <row r="50" spans="1:7" ht="16">
      <c r="A50" s="3" t="s">
        <v>61</v>
      </c>
      <c r="B50" s="3" t="s">
        <v>66</v>
      </c>
      <c r="C50" s="3" t="s">
        <v>22</v>
      </c>
      <c r="D50" s="3">
        <v>1</v>
      </c>
      <c r="E50" s="4">
        <v>1</v>
      </c>
      <c r="F50" s="3" t="str">
        <f t="shared" si="1"/>
        <v>OK</v>
      </c>
      <c r="G50" s="1"/>
    </row>
    <row r="51" spans="1:7" ht="16">
      <c r="A51" s="3" t="s">
        <v>61</v>
      </c>
      <c r="B51" s="3" t="s">
        <v>67</v>
      </c>
      <c r="C51" s="3" t="s">
        <v>22</v>
      </c>
      <c r="D51" s="3">
        <v>1</v>
      </c>
      <c r="E51" s="4">
        <v>1</v>
      </c>
      <c r="F51" s="3" t="str">
        <f t="shared" si="1"/>
        <v>OK</v>
      </c>
      <c r="G51" s="1"/>
    </row>
    <row r="52" spans="1:7" ht="16">
      <c r="A52" s="3" t="s">
        <v>68</v>
      </c>
      <c r="B52" s="3" t="s">
        <v>69</v>
      </c>
      <c r="C52" s="3" t="s">
        <v>16</v>
      </c>
      <c r="D52" s="3">
        <v>2</v>
      </c>
      <c r="E52" s="4">
        <v>2</v>
      </c>
      <c r="F52" s="3" t="str">
        <f t="shared" si="1"/>
        <v>OK</v>
      </c>
      <c r="G52" s="1"/>
    </row>
    <row r="53" spans="1:7" ht="16">
      <c r="A53" s="3" t="s">
        <v>68</v>
      </c>
      <c r="B53" s="3" t="s">
        <v>70</v>
      </c>
      <c r="C53" s="3" t="s">
        <v>16</v>
      </c>
      <c r="D53" s="3">
        <v>2</v>
      </c>
      <c r="E53" s="4">
        <v>2</v>
      </c>
      <c r="F53" s="3" t="str">
        <f t="shared" si="1"/>
        <v>OK</v>
      </c>
      <c r="G53" s="1"/>
    </row>
    <row r="54" spans="1:7" ht="16">
      <c r="A54" s="3" t="s">
        <v>68</v>
      </c>
      <c r="B54" s="3" t="s">
        <v>71</v>
      </c>
      <c r="C54" s="3" t="s">
        <v>16</v>
      </c>
      <c r="D54" s="3">
        <v>1</v>
      </c>
      <c r="E54" s="4">
        <v>1</v>
      </c>
      <c r="F54" s="3" t="str">
        <f t="shared" si="1"/>
        <v>OK</v>
      </c>
      <c r="G54" s="1"/>
    </row>
    <row r="55" spans="1:7" ht="16">
      <c r="A55" s="3" t="s">
        <v>68</v>
      </c>
      <c r="B55" s="3" t="s">
        <v>72</v>
      </c>
      <c r="C55" s="3" t="s">
        <v>16</v>
      </c>
      <c r="D55" s="3">
        <v>1</v>
      </c>
      <c r="E55" s="4">
        <v>1</v>
      </c>
      <c r="F55" s="3" t="str">
        <f t="shared" si="1"/>
        <v>OK</v>
      </c>
      <c r="G55" s="1"/>
    </row>
    <row r="56" spans="1:7" ht="16">
      <c r="A56" s="3" t="s">
        <v>73</v>
      </c>
      <c r="B56" s="3" t="s">
        <v>74</v>
      </c>
      <c r="C56" s="3" t="s">
        <v>22</v>
      </c>
      <c r="D56" s="3">
        <v>1</v>
      </c>
      <c r="E56" s="4">
        <v>1</v>
      </c>
      <c r="F56" s="3" t="str">
        <f t="shared" si="1"/>
        <v>OK</v>
      </c>
      <c r="G56" s="1"/>
    </row>
    <row r="57" spans="1:7" ht="16">
      <c r="A57" s="3" t="s">
        <v>73</v>
      </c>
      <c r="B57" s="3" t="s">
        <v>75</v>
      </c>
      <c r="C57" s="3" t="s">
        <v>22</v>
      </c>
      <c r="D57" s="3">
        <v>1</v>
      </c>
      <c r="E57" s="4">
        <v>1</v>
      </c>
      <c r="F57" s="3" t="str">
        <f t="shared" si="1"/>
        <v>OK</v>
      </c>
      <c r="G57" s="1"/>
    </row>
    <row r="58" spans="1:7" ht="16">
      <c r="A58" s="3" t="s">
        <v>73</v>
      </c>
      <c r="B58" s="3" t="s">
        <v>76</v>
      </c>
      <c r="C58" s="3" t="s">
        <v>22</v>
      </c>
      <c r="D58" s="3">
        <v>1</v>
      </c>
      <c r="E58" s="4">
        <v>1</v>
      </c>
      <c r="F58" s="3" t="str">
        <f t="shared" si="1"/>
        <v>OK</v>
      </c>
      <c r="G58" s="1"/>
    </row>
    <row r="59" spans="1:7" ht="16">
      <c r="A59" s="3" t="s">
        <v>77</v>
      </c>
      <c r="B59" s="3" t="s">
        <v>78</v>
      </c>
      <c r="C59" s="3" t="s">
        <v>16</v>
      </c>
      <c r="D59" s="3">
        <v>20</v>
      </c>
      <c r="E59" s="4">
        <v>20</v>
      </c>
      <c r="F59" s="3" t="str">
        <f t="shared" si="1"/>
        <v>OK</v>
      </c>
      <c r="G59" s="1"/>
    </row>
    <row r="60" spans="1:7" ht="16">
      <c r="A60" s="3" t="s">
        <v>79</v>
      </c>
      <c r="B60" s="3" t="s">
        <v>80</v>
      </c>
      <c r="C60" s="3" t="s">
        <v>19</v>
      </c>
      <c r="D60" s="3">
        <v>5</v>
      </c>
      <c r="E60" s="4">
        <v>5</v>
      </c>
      <c r="F60" s="3" t="str">
        <f t="shared" si="1"/>
        <v>OK</v>
      </c>
      <c r="G60" s="1"/>
    </row>
    <row r="61" spans="1:7" ht="16">
      <c r="A61" s="3" t="s">
        <v>79</v>
      </c>
      <c r="B61" s="3" t="s">
        <v>81</v>
      </c>
      <c r="C61" s="3" t="s">
        <v>19</v>
      </c>
      <c r="D61" s="3">
        <v>4</v>
      </c>
      <c r="E61" s="4">
        <v>4</v>
      </c>
      <c r="F61" s="3" t="str">
        <f t="shared" si="1"/>
        <v>OK</v>
      </c>
      <c r="G61" s="1"/>
    </row>
    <row r="62" spans="1:7" ht="16">
      <c r="A62" s="3" t="s">
        <v>79</v>
      </c>
      <c r="B62" s="3" t="s">
        <v>82</v>
      </c>
      <c r="C62" s="3" t="s">
        <v>19</v>
      </c>
      <c r="D62" s="3">
        <v>14</v>
      </c>
      <c r="E62" s="4">
        <v>14</v>
      </c>
      <c r="F62" s="3" t="str">
        <f t="shared" si="1"/>
        <v>OK</v>
      </c>
      <c r="G62" s="1"/>
    </row>
    <row r="63" spans="1:7" ht="16">
      <c r="A63" s="3" t="s">
        <v>83</v>
      </c>
      <c r="B63" s="3" t="s">
        <v>84</v>
      </c>
      <c r="C63" s="3" t="s">
        <v>16</v>
      </c>
      <c r="D63" s="3">
        <v>1</v>
      </c>
      <c r="E63" s="4">
        <v>1</v>
      </c>
      <c r="F63" s="3" t="str">
        <f t="shared" si="1"/>
        <v>OK</v>
      </c>
      <c r="G63" s="1"/>
    </row>
    <row r="64" spans="1:7" ht="16">
      <c r="A64" s="3" t="s">
        <v>83</v>
      </c>
      <c r="B64" s="3" t="s">
        <v>85</v>
      </c>
      <c r="C64" s="3" t="s">
        <v>16</v>
      </c>
      <c r="D64" s="3">
        <v>1</v>
      </c>
      <c r="E64" s="4">
        <v>1</v>
      </c>
      <c r="F64" s="3" t="str">
        <f t="shared" si="1"/>
        <v>OK</v>
      </c>
      <c r="G64" s="1"/>
    </row>
    <row r="65" spans="1:7" ht="16">
      <c r="A65" s="3" t="s">
        <v>83</v>
      </c>
      <c r="B65" s="3" t="s">
        <v>86</v>
      </c>
      <c r="C65" s="3" t="s">
        <v>16</v>
      </c>
      <c r="D65" s="3">
        <v>1</v>
      </c>
      <c r="E65" s="4">
        <v>1</v>
      </c>
      <c r="F65" s="3" t="str">
        <f t="shared" si="1"/>
        <v>OK</v>
      </c>
      <c r="G65" s="1"/>
    </row>
    <row r="66" spans="1:7" ht="16">
      <c r="A66" s="3" t="s">
        <v>87</v>
      </c>
      <c r="B66" s="3" t="s">
        <v>88</v>
      </c>
      <c r="C66" s="3" t="s">
        <v>16</v>
      </c>
      <c r="D66" s="3">
        <v>2</v>
      </c>
      <c r="E66" s="4">
        <v>2</v>
      </c>
      <c r="F66" s="3" t="str">
        <f t="shared" ref="F66:F68" si="2">IF(OR(D66="",E66=""),"DO UZUPEŁNIENIA",IF(AND(ISNUMBER(D66),ISNUMBER(E66)),IF(E66&gt;=D66,"OK","BRAK"),"SPRAWDŹ"))</f>
        <v>OK</v>
      </c>
      <c r="G66" s="1"/>
    </row>
    <row r="67" spans="1:7" ht="16">
      <c r="A67" s="3" t="s">
        <v>87</v>
      </c>
      <c r="B67" s="3" t="s">
        <v>89</v>
      </c>
      <c r="C67" s="3" t="s">
        <v>16</v>
      </c>
      <c r="D67" s="3">
        <v>2</v>
      </c>
      <c r="E67" s="4">
        <v>2</v>
      </c>
      <c r="F67" s="3" t="str">
        <f t="shared" si="2"/>
        <v>OK</v>
      </c>
      <c r="G67" s="1"/>
    </row>
    <row r="68" spans="1:7" ht="16">
      <c r="A68" s="3" t="s">
        <v>87</v>
      </c>
      <c r="B68" s="3" t="s">
        <v>90</v>
      </c>
      <c r="C68" s="3" t="s">
        <v>16</v>
      </c>
      <c r="D68" s="3">
        <v>1</v>
      </c>
      <c r="E68" s="4">
        <v>1</v>
      </c>
      <c r="F68" s="3" t="str">
        <f t="shared" si="2"/>
        <v>OK</v>
      </c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7" t="s">
        <v>91</v>
      </c>
      <c r="B70" s="16"/>
      <c r="C70" s="16"/>
      <c r="D70" s="16"/>
      <c r="E70" s="16"/>
      <c r="F70" s="16"/>
      <c r="G70" s="1"/>
    </row>
    <row r="71" spans="1:7" ht="16">
      <c r="A71" s="1" t="s">
        <v>92</v>
      </c>
      <c r="B71" s="1">
        <f>COUNTIF(E8:E68,"BRAK")</f>
        <v>0</v>
      </c>
      <c r="C71" s="1"/>
      <c r="D71" s="1"/>
      <c r="E71" s="1"/>
      <c r="F71" s="1"/>
      <c r="G71" s="1"/>
    </row>
    <row r="72" spans="1:7" ht="16">
      <c r="A72" s="1" t="s">
        <v>93</v>
      </c>
      <c r="B72" s="1">
        <f>COUNTIF(E8:E68,"DO SPRAWDZENIA")</f>
        <v>0</v>
      </c>
      <c r="C72" s="1"/>
      <c r="D72" s="1"/>
      <c r="E72" s="1"/>
      <c r="F72" s="1"/>
      <c r="G72" s="1"/>
    </row>
    <row r="73" spans="1:7" ht="16">
      <c r="A73" s="1" t="s">
        <v>94</v>
      </c>
      <c r="B73" s="1" t="s">
        <v>152</v>
      </c>
      <c r="C73" s="1"/>
      <c r="D73" s="1"/>
      <c r="E73" s="1"/>
      <c r="F73" s="1"/>
      <c r="G73" s="1"/>
    </row>
    <row r="79" spans="1:7">
      <c r="A79" s="14"/>
      <c r="B79" s="14"/>
      <c r="C79" s="14"/>
      <c r="D79" s="14"/>
      <c r="E79" s="14"/>
    </row>
    <row r="84" spans="1:5">
      <c r="A84" s="14"/>
      <c r="B84" s="14"/>
      <c r="C84" s="14"/>
      <c r="D84" s="14"/>
      <c r="E84" s="14"/>
    </row>
    <row r="90" spans="1:5">
      <c r="A90" s="14"/>
      <c r="B90" s="14"/>
      <c r="C90" s="14"/>
      <c r="D90" s="14"/>
      <c r="E90" s="14"/>
    </row>
    <row r="101" spans="1:5">
      <c r="A101" s="14"/>
      <c r="B101" s="14"/>
      <c r="C101" s="14"/>
      <c r="D101" s="14"/>
      <c r="E101" s="14"/>
    </row>
  </sheetData>
  <mergeCells count="8">
    <mergeCell ref="A7:E7"/>
    <mergeCell ref="A79:E79"/>
    <mergeCell ref="A1:F1"/>
    <mergeCell ref="A101:E101"/>
    <mergeCell ref="A70:F70"/>
    <mergeCell ref="A90:E90"/>
    <mergeCell ref="A2:G2"/>
    <mergeCell ref="A84:E84"/>
  </mergeCells>
  <conditionalFormatting sqref="B104">
    <cfRule type="expression" dxfId="10" priority="3">
      <formula>B104="ZRM GOTOWY"</formula>
    </cfRule>
    <cfRule type="expression" dxfId="9" priority="4">
      <formula>B104="WYMAGA DZIAŁANIA"</formula>
    </cfRule>
  </conditionalFormatting>
  <conditionalFormatting sqref="C7:C99">
    <cfRule type="expression" dxfId="8" priority="1">
      <formula>C7="OK"</formula>
    </cfRule>
    <cfRule type="expression" dxfId="7" priority="2">
      <formula>OR(C7="BRAK",C7="NIESPRAWNE")</formula>
    </cfRule>
  </conditionalFormatting>
  <conditionalFormatting sqref="F8:F73">
    <cfRule type="expression" dxfId="6" priority="5">
      <formula>F8="OK"</formula>
    </cfRule>
    <cfRule type="expression" dxfId="5" priority="6">
      <formula>F8="BRAK"</formula>
    </cfRule>
    <cfRule type="expression" dxfId="4" priority="7">
      <formula>OR(F8="DO UZUPEŁNIENIA",F8="SPRAWDŹ")</formula>
    </cfRule>
  </conditionalFormatting>
  <dataValidations count="1">
    <dataValidation type="list" sqref="C91:C99 C85:C89 C80:C83 C66:C78 C59:C65 C52:C58 C44:C51 C37:C43 C31:C36 C18:C30 C8:C17" xr:uid="{00000000-0002-0000-0000-000000000000}">
      <formula1>"OK,BRAK,NIESPRAWNE,DO SPRAWDZENIA"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workbookViewId="0">
      <selection activeCell="C45" sqref="C45"/>
    </sheetView>
  </sheetViews>
  <sheetFormatPr baseColWidth="10" defaultColWidth="8.83203125" defaultRowHeight="15"/>
  <cols>
    <col min="1" max="1" width="20" customWidth="1"/>
    <col min="2" max="2" width="48" customWidth="1"/>
    <col min="3" max="3" width="18" customWidth="1"/>
    <col min="4" max="4" width="42" customWidth="1"/>
    <col min="5" max="5" width="25" customWidth="1"/>
    <col min="6" max="6" width="18" customWidth="1"/>
  </cols>
  <sheetData>
    <row r="1" spans="1:6">
      <c r="A1" s="11" t="s">
        <v>95</v>
      </c>
      <c r="B1" s="10"/>
      <c r="C1" s="10"/>
      <c r="D1" s="10"/>
      <c r="E1" s="10"/>
      <c r="F1" s="10"/>
    </row>
    <row r="2" spans="1:6">
      <c r="A2" s="9" t="s">
        <v>96</v>
      </c>
      <c r="B2" s="10"/>
      <c r="C2" s="10"/>
      <c r="D2" s="10"/>
      <c r="E2" s="10"/>
      <c r="F2" s="10"/>
    </row>
    <row r="3" spans="1:6">
      <c r="A3" s="1"/>
      <c r="B3" s="1"/>
      <c r="C3" s="1"/>
      <c r="D3" s="1"/>
      <c r="E3" s="1"/>
      <c r="F3" s="1"/>
    </row>
    <row r="4" spans="1:6" ht="16">
      <c r="A4" s="1" t="s">
        <v>2</v>
      </c>
      <c r="B4" s="1"/>
      <c r="C4" s="1" t="s">
        <v>97</v>
      </c>
      <c r="D4" s="1"/>
      <c r="E4" s="1" t="s">
        <v>98</v>
      </c>
      <c r="F4" s="1"/>
    </row>
    <row r="5" spans="1:6" ht="16">
      <c r="A5" s="1" t="s">
        <v>3</v>
      </c>
      <c r="B5" s="1"/>
      <c r="C5" s="1" t="s">
        <v>99</v>
      </c>
      <c r="D5" s="1"/>
      <c r="E5" s="1" t="s">
        <v>100</v>
      </c>
      <c r="F5" s="1"/>
    </row>
    <row r="6" spans="1:6">
      <c r="A6" s="1"/>
      <c r="B6" s="1"/>
      <c r="C6" s="1"/>
      <c r="D6" s="1"/>
      <c r="E6" s="1"/>
      <c r="F6" s="1"/>
    </row>
    <row r="7" spans="1:6" ht="32">
      <c r="A7" s="2" t="s">
        <v>7</v>
      </c>
      <c r="B7" s="2" t="s">
        <v>8</v>
      </c>
      <c r="C7" s="2" t="s">
        <v>12</v>
      </c>
      <c r="D7" s="2" t="s">
        <v>101</v>
      </c>
      <c r="E7" s="2" t="s">
        <v>102</v>
      </c>
      <c r="F7" s="2" t="s">
        <v>103</v>
      </c>
    </row>
    <row r="8" spans="1:6" ht="32">
      <c r="A8" s="1" t="s">
        <v>104</v>
      </c>
      <c r="B8" s="1" t="s">
        <v>105</v>
      </c>
      <c r="C8" s="1" t="s">
        <v>153</v>
      </c>
      <c r="D8" s="1"/>
      <c r="E8" s="1"/>
      <c r="F8" s="1"/>
    </row>
    <row r="9" spans="1:6" ht="16">
      <c r="A9" s="1" t="s">
        <v>104</v>
      </c>
      <c r="B9" s="1" t="s">
        <v>106</v>
      </c>
      <c r="C9" s="1" t="s">
        <v>153</v>
      </c>
      <c r="D9" s="1"/>
      <c r="E9" s="1"/>
      <c r="F9" s="1"/>
    </row>
    <row r="10" spans="1:6" ht="16">
      <c r="A10" s="1" t="s">
        <v>104</v>
      </c>
      <c r="B10" s="1" t="s">
        <v>107</v>
      </c>
      <c r="C10" s="1" t="s">
        <v>153</v>
      </c>
      <c r="D10" s="1"/>
      <c r="E10" s="1"/>
      <c r="F10" s="1"/>
    </row>
    <row r="11" spans="1:6" ht="32">
      <c r="A11" s="1" t="s">
        <v>104</v>
      </c>
      <c r="B11" s="1" t="s">
        <v>108</v>
      </c>
      <c r="C11" s="1" t="s">
        <v>154</v>
      </c>
      <c r="D11" s="1" t="s">
        <v>155</v>
      </c>
      <c r="E11" s="1" t="s">
        <v>156</v>
      </c>
      <c r="F11" s="8">
        <v>46023</v>
      </c>
    </row>
    <row r="12" spans="1:6" ht="16">
      <c r="A12" s="1" t="s">
        <v>104</v>
      </c>
      <c r="B12" s="1" t="s">
        <v>109</v>
      </c>
      <c r="C12" s="1" t="s">
        <v>153</v>
      </c>
      <c r="D12" s="1"/>
      <c r="E12" s="1"/>
      <c r="F12" s="1"/>
    </row>
    <row r="13" spans="1:6" ht="16">
      <c r="A13" s="1" t="s">
        <v>104</v>
      </c>
      <c r="B13" s="1" t="s">
        <v>110</v>
      </c>
      <c r="C13" s="1" t="s">
        <v>153</v>
      </c>
      <c r="D13" s="1"/>
      <c r="E13" s="1"/>
      <c r="F13" s="1"/>
    </row>
    <row r="14" spans="1:6" ht="16">
      <c r="A14" s="1" t="s">
        <v>111</v>
      </c>
      <c r="B14" s="1" t="s">
        <v>112</v>
      </c>
      <c r="C14" s="1" t="s">
        <v>153</v>
      </c>
      <c r="D14" s="1"/>
      <c r="E14" s="1"/>
      <c r="F14" s="1"/>
    </row>
    <row r="15" spans="1:6" ht="16">
      <c r="A15" s="1" t="s">
        <v>111</v>
      </c>
      <c r="B15" s="1" t="s">
        <v>113</v>
      </c>
      <c r="C15" s="1" t="s">
        <v>153</v>
      </c>
      <c r="D15" s="1"/>
      <c r="E15" s="1"/>
      <c r="F15" s="1"/>
    </row>
    <row r="16" spans="1:6" ht="16">
      <c r="A16" s="1" t="s">
        <v>114</v>
      </c>
      <c r="B16" s="1" t="s">
        <v>115</v>
      </c>
      <c r="C16" s="1" t="s">
        <v>153</v>
      </c>
      <c r="D16" s="1"/>
      <c r="E16" s="1"/>
      <c r="F16" s="1"/>
    </row>
    <row r="17" spans="1:6" ht="16">
      <c r="A17" s="1" t="s">
        <v>114</v>
      </c>
      <c r="B17" s="1" t="s">
        <v>116</v>
      </c>
      <c r="C17" s="1" t="s">
        <v>153</v>
      </c>
      <c r="D17" s="1"/>
      <c r="E17" s="1"/>
      <c r="F17" s="1"/>
    </row>
    <row r="18" spans="1:6" ht="16">
      <c r="A18" s="1" t="s">
        <v>117</v>
      </c>
      <c r="B18" s="1" t="s">
        <v>118</v>
      </c>
      <c r="C18" s="1" t="s">
        <v>153</v>
      </c>
      <c r="D18" s="1"/>
      <c r="E18" s="1"/>
      <c r="F18" s="1"/>
    </row>
    <row r="19" spans="1:6" ht="16">
      <c r="A19" s="1" t="s">
        <v>117</v>
      </c>
      <c r="B19" s="1" t="s">
        <v>119</v>
      </c>
      <c r="C19" s="1" t="s">
        <v>153</v>
      </c>
      <c r="D19" s="1"/>
      <c r="E19" s="1"/>
      <c r="F19" s="1"/>
    </row>
    <row r="20" spans="1:6" ht="16">
      <c r="A20" s="1" t="s">
        <v>120</v>
      </c>
      <c r="B20" s="1" t="s">
        <v>121</v>
      </c>
      <c r="C20" s="1" t="s">
        <v>153</v>
      </c>
      <c r="D20" s="1"/>
      <c r="E20" s="1"/>
      <c r="F20" s="1"/>
    </row>
    <row r="21" spans="1:6" ht="16">
      <c r="A21" s="1" t="s">
        <v>120</v>
      </c>
      <c r="B21" s="1" t="s">
        <v>122</v>
      </c>
      <c r="C21" s="1" t="s">
        <v>153</v>
      </c>
      <c r="D21" s="1"/>
      <c r="E21" s="1"/>
      <c r="F21" s="1"/>
    </row>
    <row r="22" spans="1:6" ht="16">
      <c r="A22" s="1" t="s">
        <v>120</v>
      </c>
      <c r="B22" s="1" t="s">
        <v>123</v>
      </c>
      <c r="C22" s="1" t="s">
        <v>153</v>
      </c>
      <c r="D22" s="1"/>
      <c r="E22" s="1"/>
      <c r="F22" s="1"/>
    </row>
    <row r="23" spans="1:6" ht="16">
      <c r="A23" s="1" t="s">
        <v>120</v>
      </c>
      <c r="B23" s="1" t="s">
        <v>124</v>
      </c>
      <c r="C23" s="1" t="s">
        <v>153</v>
      </c>
      <c r="D23" s="1"/>
      <c r="E23" s="1"/>
      <c r="F23" s="1"/>
    </row>
    <row r="24" spans="1:6" ht="16">
      <c r="A24" s="1" t="s">
        <v>120</v>
      </c>
      <c r="B24" s="1" t="s">
        <v>125</v>
      </c>
      <c r="C24" s="1" t="s">
        <v>153</v>
      </c>
      <c r="D24" s="1"/>
      <c r="E24" s="1"/>
      <c r="F24" s="1"/>
    </row>
    <row r="25" spans="1:6" ht="16">
      <c r="A25" s="1" t="s">
        <v>126</v>
      </c>
      <c r="B25" s="1" t="s">
        <v>127</v>
      </c>
      <c r="C25" s="1" t="s">
        <v>153</v>
      </c>
      <c r="D25" s="1"/>
      <c r="E25" s="1"/>
      <c r="F25" s="1"/>
    </row>
    <row r="26" spans="1:6" ht="16">
      <c r="A26" s="1" t="s">
        <v>126</v>
      </c>
      <c r="B26" s="1" t="s">
        <v>128</v>
      </c>
      <c r="C26" s="1" t="s">
        <v>153</v>
      </c>
      <c r="D26" s="1"/>
      <c r="E26" s="1"/>
      <c r="F26" s="1"/>
    </row>
    <row r="27" spans="1:6" ht="16">
      <c r="A27" s="1" t="s">
        <v>126</v>
      </c>
      <c r="B27" s="1" t="s">
        <v>129</v>
      </c>
      <c r="C27" s="1" t="s">
        <v>153</v>
      </c>
      <c r="D27" s="1"/>
      <c r="E27" s="1"/>
      <c r="F27" s="1"/>
    </row>
    <row r="28" spans="1:6" ht="16">
      <c r="A28" s="1" t="s">
        <v>126</v>
      </c>
      <c r="B28" s="1" t="s">
        <v>130</v>
      </c>
      <c r="C28" s="1" t="s">
        <v>153</v>
      </c>
      <c r="D28" s="1"/>
      <c r="E28" s="1"/>
      <c r="F28" s="1"/>
    </row>
    <row r="29" spans="1:6" ht="16">
      <c r="A29" s="1" t="s">
        <v>131</v>
      </c>
      <c r="B29" s="1" t="s">
        <v>132</v>
      </c>
      <c r="C29" s="1" t="s">
        <v>153</v>
      </c>
      <c r="D29" s="1"/>
      <c r="E29" s="1"/>
      <c r="F29" s="1"/>
    </row>
    <row r="30" spans="1:6" ht="16">
      <c r="A30" s="1" t="s">
        <v>131</v>
      </c>
      <c r="B30" s="1" t="s">
        <v>133</v>
      </c>
      <c r="C30" s="1" t="s">
        <v>153</v>
      </c>
      <c r="D30" s="1"/>
      <c r="E30" s="1"/>
      <c r="F30" s="1"/>
    </row>
    <row r="31" spans="1:6" ht="16">
      <c r="A31" s="1" t="s">
        <v>131</v>
      </c>
      <c r="B31" s="1" t="s">
        <v>134</v>
      </c>
      <c r="C31" s="1" t="s">
        <v>153</v>
      </c>
      <c r="D31" s="1"/>
      <c r="E31" s="1"/>
      <c r="F31" s="1"/>
    </row>
    <row r="32" spans="1:6" ht="16">
      <c r="A32" s="1" t="s">
        <v>131</v>
      </c>
      <c r="B32" s="1" t="s">
        <v>135</v>
      </c>
      <c r="C32" s="1" t="s">
        <v>153</v>
      </c>
      <c r="D32" s="1"/>
      <c r="E32" s="1"/>
      <c r="F32" s="1"/>
    </row>
    <row r="33" spans="1:6" ht="16">
      <c r="A33" s="1" t="s">
        <v>131</v>
      </c>
      <c r="B33" s="1" t="s">
        <v>136</v>
      </c>
      <c r="C33" s="1" t="s">
        <v>153</v>
      </c>
      <c r="D33" s="1"/>
      <c r="E33" s="1"/>
      <c r="F33" s="1"/>
    </row>
    <row r="34" spans="1:6" ht="16">
      <c r="A34" s="1" t="s">
        <v>137</v>
      </c>
      <c r="B34" s="1" t="s">
        <v>138</v>
      </c>
      <c r="C34" s="1" t="s">
        <v>153</v>
      </c>
      <c r="D34" s="1"/>
      <c r="E34" s="1"/>
      <c r="F34" s="1"/>
    </row>
    <row r="35" spans="1:6" ht="16">
      <c r="A35" s="1" t="s">
        <v>137</v>
      </c>
      <c r="B35" s="1" t="s">
        <v>139</v>
      </c>
      <c r="C35" s="1" t="s">
        <v>153</v>
      </c>
      <c r="D35" s="1"/>
      <c r="E35" s="1"/>
      <c r="F35" s="1"/>
    </row>
    <row r="36" spans="1:6" ht="16">
      <c r="A36" s="1" t="s">
        <v>137</v>
      </c>
      <c r="B36" s="1" t="s">
        <v>140</v>
      </c>
      <c r="C36" s="1" t="s">
        <v>153</v>
      </c>
      <c r="D36" s="1"/>
      <c r="E36" s="1"/>
      <c r="F36" s="1"/>
    </row>
    <row r="37" spans="1:6" ht="32">
      <c r="A37" s="1" t="s">
        <v>137</v>
      </c>
      <c r="B37" s="1" t="s">
        <v>141</v>
      </c>
      <c r="C37" s="1" t="s">
        <v>153</v>
      </c>
      <c r="D37" s="1"/>
      <c r="E37" s="1"/>
      <c r="F37" s="1"/>
    </row>
    <row r="38" spans="1:6" ht="16">
      <c r="A38" s="1" t="s">
        <v>142</v>
      </c>
      <c r="B38" s="1" t="s">
        <v>143</v>
      </c>
      <c r="C38" s="1" t="s">
        <v>153</v>
      </c>
      <c r="D38" s="1"/>
      <c r="E38" s="1"/>
      <c r="F38" s="1"/>
    </row>
    <row r="39" spans="1:6" ht="16">
      <c r="A39" s="1" t="s">
        <v>142</v>
      </c>
      <c r="B39" s="1" t="s">
        <v>144</v>
      </c>
      <c r="C39" s="1" t="s">
        <v>153</v>
      </c>
      <c r="D39" s="1"/>
      <c r="E39" s="1"/>
      <c r="F39" s="1"/>
    </row>
    <row r="40" spans="1:6" ht="32">
      <c r="A40" s="1" t="s">
        <v>142</v>
      </c>
      <c r="B40" s="1" t="s">
        <v>145</v>
      </c>
      <c r="C40" s="1" t="s">
        <v>153</v>
      </c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2" t="s">
        <v>146</v>
      </c>
      <c r="B42" s="10"/>
      <c r="C42" s="10"/>
      <c r="D42" s="10"/>
      <c r="E42" s="10"/>
      <c r="F42" s="10"/>
    </row>
    <row r="43" spans="1:6" ht="32">
      <c r="A43" s="1" t="s">
        <v>147</v>
      </c>
      <c r="B43" s="1">
        <f>COUNTIF(C8:C40,"USZKODZENIE")+COUNTIF(C8:C40,"NIESPRAWNE")</f>
        <v>1</v>
      </c>
      <c r="C43" s="1"/>
      <c r="D43" s="1"/>
      <c r="E43" s="1"/>
      <c r="F43" s="1"/>
    </row>
    <row r="44" spans="1:6" ht="16">
      <c r="A44" s="1" t="s">
        <v>148</v>
      </c>
      <c r="B44" s="1" t="str">
        <f>IF(B43=0,"BRAK STWIERDZONYCH USZKODZEŃ","STWIERDZONO USZKODZENIA / NIESPRAWNOŚCI")</f>
        <v>STWIERDZONO USZKODZENIA / NIESPRAWNOŚCI</v>
      </c>
      <c r="C44" s="1"/>
      <c r="D44" s="1"/>
      <c r="E44" s="1"/>
      <c r="F44" s="1"/>
    </row>
    <row r="45" spans="1:6" ht="32">
      <c r="A45" s="1" t="s">
        <v>149</v>
      </c>
      <c r="B45" s="1"/>
      <c r="C45" s="1" t="s">
        <v>157</v>
      </c>
      <c r="D45" s="1"/>
      <c r="E45" s="1"/>
      <c r="F45" s="1"/>
    </row>
    <row r="46" spans="1:6" ht="32">
      <c r="A46" s="1" t="s">
        <v>150</v>
      </c>
      <c r="B46" s="1"/>
      <c r="C46" s="1"/>
      <c r="D46" s="1"/>
      <c r="E46" s="1"/>
      <c r="F46" s="1"/>
    </row>
  </sheetData>
  <mergeCells count="3">
    <mergeCell ref="A2:F2"/>
    <mergeCell ref="A1:F1"/>
    <mergeCell ref="A42:F42"/>
  </mergeCells>
  <conditionalFormatting sqref="B44">
    <cfRule type="expression" dxfId="3" priority="3">
      <formula>B44="BRAK STWIERDZONYCH USZKODZEŃ"</formula>
    </cfRule>
    <cfRule type="expression" dxfId="2" priority="4">
      <formula>B44="STWIERDZONO USZKODZENIA / NIESPRAWNOŚCI"</formula>
    </cfRule>
  </conditionalFormatting>
  <conditionalFormatting sqref="C8:C40">
    <cfRule type="expression" dxfId="1" priority="1">
      <formula>C8="OK"</formula>
    </cfRule>
    <cfRule type="expression" dxfId="0" priority="2">
      <formula>OR(C8="USZKODZENIE",C8="NIESPRAWNE")</formula>
    </cfRule>
  </conditionalFormatting>
  <dataValidations count="1">
    <dataValidation type="list" sqref="C8:C40" xr:uid="{00000000-0002-0000-0100-000000000000}">
      <formula1>"OK,USZKODZENIE,NIESPRAWNE,DO SPRAWDZENIA"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Kontrola dyżuru</vt:lpstr>
      <vt:lpstr>Kierowca - ambulans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Łukasz Reszczyński</cp:lastModifiedBy>
  <dcterms:created xsi:type="dcterms:W3CDTF">2026-08-15T09:54:36Z</dcterms:created>
  <dcterms:modified xsi:type="dcterms:W3CDTF">2026-08-19T19:23:51Z</dcterms:modified>
</cp:coreProperties>
</file>